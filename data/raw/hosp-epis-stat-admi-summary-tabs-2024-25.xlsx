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8_{4B2517E9-FAE7-4F53-B5D1-0FFC3991E175}" xr6:coauthVersionLast="47" xr6:coauthVersionMax="47" xr10:uidLastSave="{00000000-0000-0000-0000-000000000000}"/>
  <bookViews>
    <workbookView xWindow="-120" yWindow="-120" windowWidth="29040" windowHeight="15720" tabRatio="712" xr2:uid="{B4FA3DC6-69B5-4014-875D-E667459F7231}"/>
  </bookViews>
  <sheets>
    <sheet name="Title sheet" sheetId="18" r:id="rId1"/>
    <sheet name="Contents" sheetId="19" r:id="rId2"/>
    <sheet name="Summary table 1" sheetId="23" r:id="rId3"/>
    <sheet name="Summary table 2" sheetId="24" r:id="rId4"/>
    <sheet name="Summary table 3" sheetId="25" r:id="rId5"/>
    <sheet name="Summary table 4" sheetId="26" r:id="rId6"/>
    <sheet name="Summary table 5" sheetId="27" r:id="rId7"/>
    <sheet name="Summary table 6" sheetId="28" r:id="rId8"/>
    <sheet name="Summary table 7" sheetId="29" r:id="rId9"/>
    <sheet name="Summary table 8" sheetId="30" r:id="rId10"/>
  </sheets>
  <externalReferences>
    <externalReference r:id="rId11"/>
  </externalReferences>
  <definedNames>
    <definedName name="Admission_Source">'[1]CC Admission Source'!$A$16:$B$20</definedName>
    <definedName name="Discharge_Destination">'[1]CC Discharge Destination'!$A$16:$B$21</definedName>
    <definedName name="Discharge_location">'[1]CC Discharge Location'!$A$19:$B$28</definedName>
    <definedName name="Discharge_Status">'[1]CC Discharge Status'!$A$21:$B$30</definedName>
    <definedName name="_xlnm.Print_Area" localSheetId="1">Contents!$A$1:$I$35</definedName>
    <definedName name="_xlnm.Print_Area" localSheetId="0">'Title sheet'!$A$1:$I$24</definedName>
    <definedName name="Source_Location">'[1]CC Source Location'!$A$21:$B$32</definedName>
    <definedName name="Unit_Bed_Config">'[1]CC Unit Bed Config'!$A$13:$B$16</definedName>
    <definedName name="Unit_Function">'[1]CC Unit Function'!$A$20:$C$41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1" i="26" l="1"/>
  <c r="D30" i="26"/>
  <c r="D29" i="26"/>
  <c r="D28" i="26"/>
  <c r="D27" i="26"/>
  <c r="D26" i="26"/>
  <c r="D25" i="26"/>
  <c r="D24" i="26"/>
  <c r="D23" i="26"/>
  <c r="D22" i="26"/>
  <c r="E22" i="27"/>
  <c r="D22" i="27"/>
</calcChain>
</file>

<file path=xl/sharedStrings.xml><?xml version="1.0" encoding="utf-8"?>
<sst xmlns="http://schemas.openxmlformats.org/spreadsheetml/2006/main" count="343" uniqueCount="176">
  <si>
    <t>Year</t>
  </si>
  <si>
    <t>FCEs</t>
  </si>
  <si>
    <t>FAEs</t>
  </si>
  <si>
    <t>Male</t>
  </si>
  <si>
    <t>Female</t>
  </si>
  <si>
    <t>Total</t>
  </si>
  <si>
    <t>0 - 4</t>
  </si>
  <si>
    <t>5 - 9</t>
  </si>
  <si>
    <t>10 - 14</t>
  </si>
  <si>
    <t>15 - 19</t>
  </si>
  <si>
    <t>20 - 24</t>
  </si>
  <si>
    <t>25 - 29</t>
  </si>
  <si>
    <t>30 - 34</t>
  </si>
  <si>
    <t>35 - 39</t>
  </si>
  <si>
    <t>40 - 44</t>
  </si>
  <si>
    <t>45 - 49</t>
  </si>
  <si>
    <t>50 - 54</t>
  </si>
  <si>
    <t>55 - 59</t>
  </si>
  <si>
    <t>60 - 64</t>
  </si>
  <si>
    <t>65 - 69</t>
  </si>
  <si>
    <t>70 - 74</t>
  </si>
  <si>
    <t>75 - 79</t>
  </si>
  <si>
    <t>80 - 84</t>
  </si>
  <si>
    <t>85 - 89</t>
  </si>
  <si>
    <t>90+</t>
  </si>
  <si>
    <t>Unknown</t>
  </si>
  <si>
    <t>Age (years)</t>
  </si>
  <si>
    <t>Elective</t>
  </si>
  <si>
    <t>Emergency</t>
  </si>
  <si>
    <t>April</t>
  </si>
  <si>
    <t>May</t>
  </si>
  <si>
    <t>June</t>
  </si>
  <si>
    <t>July</t>
  </si>
  <si>
    <t>August</t>
  </si>
  <si>
    <t>September</t>
  </si>
  <si>
    <t>October</t>
  </si>
  <si>
    <t>November</t>
  </si>
  <si>
    <t>December</t>
  </si>
  <si>
    <t>January</t>
  </si>
  <si>
    <t>February</t>
  </si>
  <si>
    <t>March</t>
  </si>
  <si>
    <t>Month</t>
  </si>
  <si>
    <t>Admission method</t>
  </si>
  <si>
    <t>Any other ethnic group</t>
  </si>
  <si>
    <t>ONS Population</t>
  </si>
  <si>
    <t>Ethnicity</t>
  </si>
  <si>
    <t>IMD Decile</t>
  </si>
  <si>
    <t>Most deprived 10%</t>
  </si>
  <si>
    <t>More deprived 10-20%</t>
  </si>
  <si>
    <t>More deprived 20-30%</t>
  </si>
  <si>
    <t>More deprived 30-40%</t>
  </si>
  <si>
    <t>More deprived 40-50%</t>
  </si>
  <si>
    <t>Less deprived 40-50%</t>
  </si>
  <si>
    <t>Less deprived 30-40%</t>
  </si>
  <si>
    <t>Less deprived 20-30%</t>
  </si>
  <si>
    <t>Less deprived 10-20%</t>
  </si>
  <si>
    <t>Least deprived 10%</t>
  </si>
  <si>
    <t>ONS population</t>
  </si>
  <si>
    <t>Other</t>
  </si>
  <si>
    <t>Day Cases</t>
  </si>
  <si>
    <t>FCEs (%)</t>
  </si>
  <si>
    <t>Number of critical care records</t>
  </si>
  <si>
    <t>0-4</t>
  </si>
  <si>
    <t>5-9</t>
  </si>
  <si>
    <t>10-14</t>
  </si>
  <si>
    <t>15-19</t>
  </si>
  <si>
    <t>20-24</t>
  </si>
  <si>
    <t>25-29</t>
  </si>
  <si>
    <t>30-34</t>
  </si>
  <si>
    <t>35-39</t>
  </si>
  <si>
    <t>40-44</t>
  </si>
  <si>
    <t>45-49</t>
  </si>
  <si>
    <t>50-54</t>
  </si>
  <si>
    <t>55-59</t>
  </si>
  <si>
    <t>60-64</t>
  </si>
  <si>
    <t>65-69</t>
  </si>
  <si>
    <t>70-74</t>
  </si>
  <si>
    <t>75-79</t>
  </si>
  <si>
    <t>80-84</t>
  </si>
  <si>
    <t>85-89</t>
  </si>
  <si>
    <t>Critical Care records</t>
  </si>
  <si>
    <t>Start day</t>
  </si>
  <si>
    <t>Discharge day</t>
  </si>
  <si>
    <t>Monday</t>
  </si>
  <si>
    <t>Tuesday</t>
  </si>
  <si>
    <t>Wednesday</t>
  </si>
  <si>
    <t>Thursday</t>
  </si>
  <si>
    <t>Friday</t>
  </si>
  <si>
    <t>Saturday</t>
  </si>
  <si>
    <t>Sunday</t>
  </si>
  <si>
    <t>Average length of stay</t>
  </si>
  <si>
    <t>Day</t>
  </si>
  <si>
    <t>Introduction</t>
  </si>
  <si>
    <t>Contact details</t>
  </si>
  <si>
    <t>Email: enquiries@nhsdigital.nhs.uk</t>
  </si>
  <si>
    <t>Press enquiries should be made to: Media Relations Manager: telephone 0300 303 3888</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</si>
  <si>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</si>
  <si>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</si>
  <si>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Ordinary episodes</t>
  </si>
  <si>
    <t>Hospital Admitted Patient Care Activity</t>
  </si>
  <si>
    <t>Adult Critical Care Activity</t>
  </si>
  <si>
    <t>White</t>
  </si>
  <si>
    <t>Mixed</t>
  </si>
  <si>
    <t>Asian</t>
  </si>
  <si>
    <t>Black</t>
  </si>
  <si>
    <t>Data Tables</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</si>
  <si>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</si>
  <si>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</si>
  <si>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</si>
  <si>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</si>
  <si>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</si>
  <si>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Author: Secondary Care Open Data and Publications, NHS England</t>
  </si>
  <si>
    <t>Published by NHS England part of the Government Statistical Service</t>
  </si>
  <si>
    <t>This publication describes NHS-funded inpatient, day case and adult critical care activity in England.
The data source for this publication is Hospital Episode Statistics (HES).</t>
  </si>
  <si>
    <t xml:space="preserve">This file provides some high level analyses of HES Admitted Patient Care data relating to finished consultant episodes (FCEs) and finished admission episodes (FAEs) and Adult Critical Care records in NHS hospitals and for NHS funded activity in the independent sector. This document provides data tables to supplement the summary report. </t>
  </si>
  <si>
    <t>FAEs by Admission method</t>
  </si>
  <si>
    <t/>
  </si>
  <si>
    <t>Activity in English NHS Hospitals and English NHS commissioned activity in the independent sector.</t>
  </si>
  <si>
    <t>For more information on data quality please see the data quality note accompanying this publication.</t>
  </si>
  <si>
    <t>Source: Hospital Episode Statistics (HES), NHS England</t>
  </si>
  <si>
    <t>Summary table 1</t>
  </si>
  <si>
    <t>Summary table 2</t>
  </si>
  <si>
    <t>Summary table 3</t>
  </si>
  <si>
    <t>Summary table 4</t>
  </si>
  <si>
    <t>Summary table 5</t>
  </si>
  <si>
    <t>Summary table 6</t>
  </si>
  <si>
    <t>Summary table 7</t>
  </si>
  <si>
    <t>Summary table 8</t>
  </si>
  <si>
    <t>Hospital Admitted Patient Care and Adult Critical Care Activity: Table of contents</t>
  </si>
  <si>
    <t>2015-16</t>
  </si>
  <si>
    <t>2016-17</t>
  </si>
  <si>
    <t>2017-18</t>
  </si>
  <si>
    <t>2018-19</t>
  </si>
  <si>
    <t>2019-20</t>
  </si>
  <si>
    <t>2020-21</t>
  </si>
  <si>
    <t>2021-22</t>
  </si>
  <si>
    <t>2022-23</t>
  </si>
  <si>
    <t>ONS contains additional ethnic categories that are not defined in HES, therefore it was necessary to merge certain groupings to match those in HES. This affects the following categories:</t>
  </si>
  <si>
    <t>‘Gypsy or Irish Traveller’ merged with ‘Any other white’</t>
  </si>
  <si>
    <t>‘Arab' merged with ‘Any other ethnic group’</t>
  </si>
  <si>
    <t>Link to publication</t>
  </si>
  <si>
    <t>Link to supporting information</t>
  </si>
  <si>
    <t>*Population rates are calculated using Office for National (ONS) data.</t>
  </si>
  <si>
    <t>2023-24</t>
  </si>
  <si>
    <t>Responsible Statistician: Karl Eichler</t>
  </si>
  <si>
    <t>2024-25</t>
  </si>
  <si>
    <t>Summary table 1: FCEs, FAEs, Admission method, 2015-16 to 2024-25</t>
  </si>
  <si>
    <t>Copyright © 2025, NHS England.</t>
  </si>
  <si>
    <t>Summary table 2: Count of FCEs, by age and sex, 2024-25</t>
  </si>
  <si>
    <t>Summary table 3: FAEs by Month and Admission Method, 2024-25</t>
  </si>
  <si>
    <t>Summary table 4: Admissions by Ethnicity, Admissions by IMD Decile and rate per 100,000 population, 2024-25</t>
  </si>
  <si>
    <t>Summary table 8: Count of critical care records and the average length of stay, by start day and discharge day, 2024-25</t>
  </si>
  <si>
    <t>Summary table 7: Count of critical care records by age and sex, 2024-25</t>
  </si>
  <si>
    <t>Hospital Admitted Patient Care and 
Adult Critical Care Activity: Summary table - 2024-25</t>
  </si>
  <si>
    <t>Copyright © 2025</t>
  </si>
  <si>
    <t>FCEs, FAEs, Admission method, 2015-16 to 2024-25</t>
  </si>
  <si>
    <t>Count of FCEs, by age and sex, 2024-25</t>
  </si>
  <si>
    <t>FAEs by Month and Admission Method, 2024-25</t>
  </si>
  <si>
    <t>Admissions by Ethnicity, Admissions by IMD Decile and rate per 100,000 population, 2024-25</t>
  </si>
  <si>
    <t>Count of FCEs by patient classification, 2014-15 to 2024-25</t>
  </si>
  <si>
    <t>Count of critical care records by age and sex, 2024-25</t>
  </si>
  <si>
    <t>Count of critical care records and the average length of stay, by start day and discharge day, 2024-25</t>
  </si>
  <si>
    <t>Count of critical care records, 2015-16 to 2024-25</t>
  </si>
  <si>
    <t>Publication date: 25th September 2025</t>
  </si>
  <si>
    <t>Summary table 6: Count of critical care records, 2015-16 to 2024-25</t>
  </si>
  <si>
    <t>Count of Finished Consultant Episodes, Finished Admission Episodes, and Finished Admission Episodes by admission method.</t>
  </si>
  <si>
    <t>Count of Finished Consultant Episodes (FCEs) by five year age bands and sex.</t>
  </si>
  <si>
    <t>Count of Finished Admission Episodes (FAEs) by month and admission method.</t>
  </si>
  <si>
    <t>Count of Finished Admission Episodes (FAEs) by Ethnicity and Index of Multiple Deprivation (IMD) Decile. The table also includes rate per 100,000 population (source of population data). For IMD Decile, the data for admission method is also included.</t>
  </si>
  <si>
    <t>Count of Finished Consultant Episodes (FCEs) by patient classification.</t>
  </si>
  <si>
    <t>Count of records categorised as critical care.</t>
  </si>
  <si>
    <t>Count of critical care records by age and sex.</t>
  </si>
  <si>
    <t>Count of critical care records and average length of stay, by day of the week.</t>
  </si>
  <si>
    <t>-</t>
  </si>
  <si>
    <t>Admissions per 100k popn</t>
  </si>
  <si>
    <t>Summary table 5: Count of FCEs by patient classification, 2015-16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</si>
</sst>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0.0%"/>
    <numFmt numFmtId="167" formatCode="[$-10409]#,##0;\-#,##0"/>
    <numFmt numFmtId="168" formatCode="_-* #,##0.0000000_-;\-* #,##0.0000000_-;_-* &quot;-&quot;??_-;_-@_-"/>
  </numFmts>
  <fonts count="33" x14ac:knownFonts="1">
    <font>
      <sz val="12"/>
      <color theme="1"/>
      <name val="Arial"/>
      <family val="2"/>
    </font>
    <font>
      <sz val="12"/>
      <color theme="1"/>
      <name val="Arial"/>
      <family val="2"/>
    </font>
    <font>
      <sz val="11"/>
      <color theme="1"/>
      <name val="Arial"/>
      <family val="2"/>
    </font>
    <font>
      <sz val="10"/>
      <color theme="1"/>
      <name val="Arial"/>
      <family val="2"/>
    </font>
    <font>
      <b/>
      <sz val="11"/>
      <color theme="1"/>
      <name val="Arial"/>
      <family val="2"/>
    </font>
    <font>
      <u/>
      <sz val="12"/>
      <color theme="10"/>
      <name val="Arial"/>
      <family val="2"/>
    </font>
    <font>
      <b/>
      <sz val="10"/>
      <color theme="1"/>
      <name val="Arial"/>
      <family val="2"/>
    </font>
    <font>
      <sz val="10"/>
      <name val="Arial"/>
      <family val="2"/>
    </font>
    <font>
      <b/>
      <sz val="11"/>
      <name val="Arial"/>
      <family val="2"/>
    </font>
    <font>
      <b/>
      <sz val="27"/>
      <color rgb="FF005EB8"/>
      <name val="Arial"/>
      <family val="2"/>
    </font>
    <font>
      <u/>
      <sz val="10"/>
      <color theme="10"/>
      <name val="Arial"/>
      <family val="2"/>
    </font>
    <font>
      <sz val="10"/>
      <color rgb="FFFF0000"/>
      <name val="Arial"/>
      <family val="2"/>
    </font>
    <font>
      <sz val="10"/>
      <color indexed="8"/>
      <name val="Arial"/>
      <family val="2"/>
    </font>
    <font>
      <b/>
      <sz val="18"/>
      <color rgb="FF005EB8"/>
      <name val="Arial"/>
      <family val="2"/>
    </font>
    <font>
      <sz val="9"/>
      <name val="Arial"/>
      <family val="2"/>
    </font>
    <font>
      <sz val="9"/>
      <color theme="1"/>
      <name val="Arial"/>
      <family val="2"/>
    </font>
    <font>
      <b/>
      <sz val="10"/>
      <color indexed="8"/>
      <name val="Arial"/>
      <family val="2"/>
    </font>
    <font>
      <sz val="11"/>
      <name val="Arial"/>
      <family val="2"/>
    </font>
    <font>
      <sz val="11"/>
      <color theme="1"/>
      <name val="Calibri"/>
      <family val="2"/>
      <scheme val="minor"/>
    </font>
    <font>
      <b/>
      <sz val="20"/>
      <color rgb="FF424D58"/>
      <name val="Arial"/>
      <family val="2"/>
    </font>
    <font>
      <sz val="10"/>
      <color rgb="FF000000"/>
      <name val="Arial"/>
      <family val="2"/>
    </font>
    <font>
      <sz val="11"/>
      <name val="Calibri"/>
      <family val="2"/>
    </font>
    <font>
      <b/>
      <sz val="11"/>
      <color indexed="8"/>
      <name val="Arial"/>
      <family val="2"/>
    </font>
    <font>
      <sz val="8"/>
      <name val="Arial"/>
      <family val="2"/>
    </font>
    <font>
      <sz val="11"/>
      <color theme="1"/>
      <name val="Calibri"/>
      <family val="2"/>
    </font>
    <font>
      <u/>
      <sz val="10"/>
      <color indexed="12"/>
      <name val="Arial"/>
      <family val="2"/>
    </font>
    <font>
      <u/>
      <sz val="11"/>
      <color theme="10"/>
      <name val="Calibri"/>
      <family val="2"/>
    </font>
    <font>
      <u/>
      <sz val="10"/>
      <color indexed="30"/>
      <name val="Arial"/>
      <family val="2"/>
    </font>
    <font>
      <u/>
      <sz val="12"/>
      <color rgb="FF004488"/>
      <name val="Arial"/>
      <family val="2"/>
    </font>
    <font>
      <sz val="12"/>
      <color indexed="8"/>
      <name val="Arial"/>
      <family val="2"/>
    </font>
    <font>
      <sz val="9.5"/>
      <color rgb="FF000000"/>
      <name val="Arial"/>
      <family val="2"/>
    </font>
    <font>
      <sz val="9.5"/>
      <color rgb="FF000000"/>
      <name val="Arial"/>
      <family val="2"/>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s>
  <cellStyleXfs count="59">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7" fillId="0" borderId="0"/>
    <xf numFmtId="0" fontId="10" fillId="0" borderId="0" applyNumberFormat="0" applyFill="0" applyBorder="0" applyAlignment="0" applyProtection="0"/>
    <xf numFmtId="0" fontId="7" fillId="0" borderId="0"/>
    <xf numFmtId="0" fontId="2" fillId="0" borderId="0"/>
    <xf numFmtId="0" fontId="10" fillId="0" borderId="0" applyNumberForma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18" fillId="0" borderId="0"/>
    <xf numFmtId="43" fontId="18" fillId="0" borderId="0" applyFont="0" applyFill="0" applyBorder="0" applyAlignment="0" applyProtection="0"/>
    <xf numFmtId="0" fontId="18" fillId="0" borderId="0"/>
    <xf numFmtId="0" fontId="18" fillId="0" borderId="0"/>
    <xf numFmtId="0" fontId="25" fillId="0" borderId="0" applyNumberFormat="0" applyFill="0" applyBorder="0" applyAlignment="0" applyProtection="0">
      <alignment vertical="top"/>
      <protection locked="0"/>
    </xf>
    <xf numFmtId="9"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18" fillId="0" borderId="0"/>
    <xf numFmtId="9" fontId="18" fillId="0" borderId="0" applyFont="0" applyFill="0" applyBorder="0" applyAlignment="0" applyProtection="0"/>
    <xf numFmtId="9" fontId="7" fillId="0" borderId="0" applyFont="0" applyFill="0" applyBorder="0" applyAlignment="0" applyProtection="0"/>
    <xf numFmtId="43" fontId="18" fillId="0" borderId="0" applyFont="0" applyFill="0" applyBorder="0" applyAlignment="0" applyProtection="0"/>
    <xf numFmtId="9" fontId="7" fillId="0" borderId="0" applyFont="0" applyFill="0" applyBorder="0" applyAlignment="0" applyProtection="0"/>
    <xf numFmtId="0" fontId="26" fillId="0" borderId="0" applyNumberForma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7" fillId="0" borderId="0"/>
    <xf numFmtId="9" fontId="2" fillId="0" borderId="0" applyFont="0" applyFill="0" applyBorder="0" applyAlignment="0" applyProtection="0"/>
    <xf numFmtId="9" fontId="18"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24"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 borderId="55" applyNumberFormat="0" applyFont="0" applyAlignment="0" applyProtection="0"/>
    <xf numFmtId="0" fontId="29" fillId="4" borderId="56" applyNumberFormat="0" applyFont="0" applyAlignment="0" applyProtection="0"/>
    <xf numFmtId="0" fontId="30" fillId="0" borderId="0"/>
    <xf numFmtId="0" fontId="30" fillId="0" borderId="0"/>
    <xf numFmtId="0" fontId="30" fillId="0" borderId="0"/>
    <xf numFmtId="0" fontId="30" fillId="0" borderId="0"/>
    <xf numFmtId="43" fontId="7" fillId="0" borderId="0" applyFont="0" applyFill="0" applyBorder="0" applyAlignment="0" applyProtection="0"/>
    <xf numFmtId="0" fontId="7" fillId="0" borderId="0"/>
    <xf numFmtId="43" fontId="1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30" fillId="0" borderId="0"/>
    <xf numFmtId="9" fontId="2" fillId="0" borderId="0" applyFont="0" applyFill="0" applyBorder="0" applyAlignment="0" applyProtection="0"/>
    <xf numFmtId="9" fontId="2" fillId="0" borderId="0" applyFont="0" applyFill="0" applyBorder="0" applyAlignment="0" applyProtection="0"/>
    <xf numFmtId="0" fontId="30" fillId="0" borderId="0"/>
    <xf numFmtId="0" fontId="30" fillId="0" borderId="0"/>
    <xf numFmtId="0" fontId="31" fillId="0" borderId="0"/>
    <xf numFmtId="0" fontId="32" fillId="0" borderId="0"/>
  </cellStyleXfs>
  <cellXfs count="201">
    <xf numFmtId="0" fontId="0" fillId="0" borderId="0" xfId="0"/>
    <xf numFmtId="0" fontId="7" fillId="0" borderId="0" xfId="4"/>
    <xf numFmtId="0" fontId="7" fillId="0" borderId="0" xfId="4" applyAlignment="1">
      <alignment horizontal="left"/>
    </xf>
    <xf numFmtId="0" fontId="11" fillId="0" borderId="0" xfId="4" applyFont="1"/>
    <xf numFmtId="0" fontId="12" fillId="0" borderId="0" xfId="4" applyFont="1" applyAlignment="1" applyProtection="1">
      <alignment vertical="top" wrapText="1" readingOrder="1"/>
      <protection locked="0"/>
    </xf>
    <xf numFmtId="0" fontId="10" fillId="0" borderId="0" xfId="5" applyAlignment="1" applyProtection="1">
      <alignment vertical="top" wrapText="1" readingOrder="1"/>
      <protection locked="0"/>
    </xf>
    <xf numFmtId="0" fontId="10" fillId="0" borderId="0" xfId="5"/>
    <xf numFmtId="0" fontId="13" fillId="2" borderId="0" xfId="6" applyFont="1" applyFill="1" applyAlignment="1" applyProtection="1">
      <alignment horizontal="left" vertical="top" readingOrder="1"/>
      <protection locked="0"/>
    </xf>
    <xf numFmtId="0" fontId="2" fillId="2" borderId="0" xfId="0" applyFont="1" applyFill="1"/>
    <xf numFmtId="0" fontId="14" fillId="2" borderId="0" xfId="6" applyFont="1" applyFill="1" applyAlignment="1" applyProtection="1">
      <alignment vertical="top" readingOrder="1"/>
      <protection locked="0"/>
    </xf>
    <xf numFmtId="0" fontId="2" fillId="2" borderId="13" xfId="0" applyFont="1" applyFill="1" applyBorder="1"/>
    <xf numFmtId="165" fontId="2" fillId="2" borderId="11" xfId="1" applyNumberFormat="1" applyFont="1" applyFill="1" applyBorder="1"/>
    <xf numFmtId="165" fontId="2" fillId="2" borderId="1" xfId="1" applyNumberFormat="1" applyFont="1" applyFill="1" applyBorder="1"/>
    <xf numFmtId="165" fontId="2" fillId="2" borderId="7" xfId="1" applyNumberFormat="1" applyFont="1" applyFill="1" applyBorder="1"/>
    <xf numFmtId="0" fontId="2" fillId="2" borderId="14" xfId="0" applyFont="1" applyFill="1" applyBorder="1"/>
    <xf numFmtId="165" fontId="2" fillId="2" borderId="10" xfId="1" applyNumberFormat="1" applyFont="1" applyFill="1" applyBorder="1"/>
    <xf numFmtId="166" fontId="2" fillId="2" borderId="7" xfId="2" applyNumberFormat="1" applyFont="1" applyFill="1" applyBorder="1"/>
    <xf numFmtId="0" fontId="15" fillId="2" borderId="0" xfId="0" applyFont="1" applyFill="1"/>
    <xf numFmtId="0" fontId="0" fillId="2" borderId="0" xfId="0" applyFill="1"/>
    <xf numFmtId="0" fontId="4" fillId="2" borderId="25" xfId="0" applyFont="1" applyFill="1" applyBorder="1" applyAlignment="1">
      <alignment wrapText="1"/>
    </xf>
    <xf numFmtId="0" fontId="4" fillId="2" borderId="22" xfId="0" applyFont="1" applyFill="1" applyBorder="1" applyAlignment="1">
      <alignment wrapText="1"/>
    </xf>
    <xf numFmtId="0" fontId="4" fillId="2" borderId="24" xfId="0" applyFont="1" applyFill="1" applyBorder="1" applyAlignment="1">
      <alignment wrapText="1"/>
    </xf>
    <xf numFmtId="0" fontId="2" fillId="2" borderId="26" xfId="0" applyFont="1" applyFill="1" applyBorder="1"/>
    <xf numFmtId="165" fontId="2" fillId="2" borderId="19" xfId="1" applyNumberFormat="1" applyFont="1" applyFill="1" applyBorder="1"/>
    <xf numFmtId="0" fontId="2" fillId="2" borderId="27" xfId="0" applyFont="1" applyFill="1" applyBorder="1"/>
    <xf numFmtId="165" fontId="2" fillId="2" borderId="6" xfId="1" applyNumberFormat="1" applyFont="1" applyFill="1" applyBorder="1"/>
    <xf numFmtId="0" fontId="2" fillId="2" borderId="36" xfId="0" applyFont="1" applyFill="1" applyBorder="1"/>
    <xf numFmtId="165" fontId="2" fillId="2" borderId="41" xfId="1" applyNumberFormat="1" applyFont="1" applyFill="1" applyBorder="1"/>
    <xf numFmtId="0" fontId="4" fillId="2" borderId="25" xfId="0" applyFont="1" applyFill="1" applyBorder="1"/>
    <xf numFmtId="165" fontId="4" fillId="2" borderId="22" xfId="1" applyNumberFormat="1" applyFont="1" applyFill="1" applyBorder="1"/>
    <xf numFmtId="0" fontId="4" fillId="2" borderId="22" xfId="0" applyFont="1" applyFill="1" applyBorder="1"/>
    <xf numFmtId="0" fontId="4" fillId="2" borderId="29" xfId="0" applyFont="1" applyFill="1" applyBorder="1"/>
    <xf numFmtId="0" fontId="4" fillId="2" borderId="24" xfId="0" applyFont="1" applyFill="1" applyBorder="1"/>
    <xf numFmtId="165" fontId="2" fillId="2" borderId="30" xfId="1" applyNumberFormat="1" applyFont="1" applyFill="1" applyBorder="1"/>
    <xf numFmtId="165" fontId="2" fillId="2" borderId="21" xfId="1" applyNumberFormat="1" applyFont="1" applyFill="1" applyBorder="1"/>
    <xf numFmtId="165" fontId="2" fillId="2" borderId="31" xfId="1" applyNumberFormat="1" applyFont="1" applyFill="1" applyBorder="1"/>
    <xf numFmtId="165" fontId="2" fillId="2" borderId="44" xfId="1" applyNumberFormat="1" applyFont="1" applyFill="1" applyBorder="1"/>
    <xf numFmtId="165" fontId="2" fillId="2" borderId="43" xfId="1" applyNumberFormat="1" applyFont="1" applyFill="1" applyBorder="1"/>
    <xf numFmtId="165" fontId="4" fillId="2" borderId="29" xfId="1" applyNumberFormat="1" applyFont="1" applyFill="1" applyBorder="1"/>
    <xf numFmtId="165" fontId="4" fillId="2" borderId="24" xfId="1" applyNumberFormat="1" applyFont="1" applyFill="1" applyBorder="1"/>
    <xf numFmtId="3" fontId="2" fillId="2" borderId="13" xfId="0" applyNumberFormat="1" applyFont="1" applyFill="1" applyBorder="1"/>
    <xf numFmtId="0" fontId="2" fillId="2" borderId="27" xfId="0" applyFont="1" applyFill="1" applyBorder="1" applyAlignment="1">
      <alignment vertical="center"/>
    </xf>
    <xf numFmtId="0" fontId="2" fillId="2" borderId="16" xfId="0" applyFont="1" applyFill="1" applyBorder="1"/>
    <xf numFmtId="165" fontId="2" fillId="2" borderId="20" xfId="1" applyNumberFormat="1" applyFont="1" applyFill="1" applyBorder="1"/>
    <xf numFmtId="0" fontId="6" fillId="2" borderId="0" xfId="0" applyFont="1" applyFill="1"/>
    <xf numFmtId="0" fontId="3" fillId="2" borderId="0" xfId="0" applyFont="1" applyFill="1"/>
    <xf numFmtId="0" fontId="2" fillId="2" borderId="28" xfId="0" applyFont="1" applyFill="1" applyBorder="1"/>
    <xf numFmtId="165" fontId="2" fillId="2" borderId="8" xfId="1" applyNumberFormat="1" applyFont="1" applyFill="1" applyBorder="1"/>
    <xf numFmtId="0" fontId="4" fillId="2" borderId="2" xfId="0" applyFont="1" applyFill="1" applyBorder="1"/>
    <xf numFmtId="165" fontId="2" fillId="2" borderId="39" xfId="1" applyNumberFormat="1" applyFont="1" applyFill="1" applyBorder="1" applyAlignment="1">
      <alignment horizontal="right" vertical="top"/>
    </xf>
    <xf numFmtId="165" fontId="2" fillId="2" borderId="11" xfId="1" applyNumberFormat="1" applyFont="1" applyFill="1" applyBorder="1" applyAlignment="1">
      <alignment horizontal="right" vertical="top"/>
    </xf>
    <xf numFmtId="165" fontId="4" fillId="2" borderId="0" xfId="1" applyNumberFormat="1" applyFont="1" applyFill="1"/>
    <xf numFmtId="165" fontId="2" fillId="2" borderId="40" xfId="1" applyNumberFormat="1" applyFont="1" applyFill="1" applyBorder="1"/>
    <xf numFmtId="165" fontId="2" fillId="2" borderId="27" xfId="1" applyNumberFormat="1" applyFont="1" applyFill="1" applyBorder="1"/>
    <xf numFmtId="165" fontId="2" fillId="2" borderId="36" xfId="1" applyNumberFormat="1" applyFont="1" applyFill="1" applyBorder="1"/>
    <xf numFmtId="1" fontId="2" fillId="2" borderId="16" xfId="0" applyNumberFormat="1" applyFont="1" applyFill="1" applyBorder="1"/>
    <xf numFmtId="1" fontId="2" fillId="2" borderId="13" xfId="0" applyNumberFormat="1" applyFont="1" applyFill="1" applyBorder="1"/>
    <xf numFmtId="1" fontId="2" fillId="2" borderId="35" xfId="0" applyNumberFormat="1" applyFont="1" applyFill="1" applyBorder="1"/>
    <xf numFmtId="165" fontId="4" fillId="2" borderId="38" xfId="0" applyNumberFormat="1" applyFont="1" applyFill="1" applyBorder="1"/>
    <xf numFmtId="165" fontId="2" fillId="2" borderId="17" xfId="1" applyNumberFormat="1" applyFont="1" applyFill="1" applyBorder="1"/>
    <xf numFmtId="165" fontId="2" fillId="2" borderId="13" xfId="1" applyNumberFormat="1" applyFont="1" applyFill="1" applyBorder="1"/>
    <xf numFmtId="165" fontId="2" fillId="2" borderId="15" xfId="1" applyNumberFormat="1" applyFont="1" applyFill="1" applyBorder="1"/>
    <xf numFmtId="0" fontId="10" fillId="0" borderId="0" xfId="3" applyFont="1" applyAlignment="1" applyProtection="1">
      <alignment vertical="top" readingOrder="1"/>
      <protection locked="0"/>
    </xf>
    <xf numFmtId="0" fontId="10" fillId="0" borderId="0" xfId="3" applyFont="1"/>
    <xf numFmtId="0" fontId="16" fillId="0" borderId="0" xfId="4" applyFont="1" applyAlignment="1" applyProtection="1">
      <alignment vertical="top" wrapText="1" readingOrder="1"/>
      <protection locked="0"/>
    </xf>
    <xf numFmtId="0" fontId="4" fillId="2" borderId="32" xfId="0" applyFont="1" applyFill="1" applyBorder="1"/>
    <xf numFmtId="0" fontId="4" fillId="2" borderId="23" xfId="0" applyFont="1" applyFill="1" applyBorder="1"/>
    <xf numFmtId="165" fontId="2" fillId="2" borderId="0" xfId="0" applyNumberFormat="1" applyFont="1" applyFill="1"/>
    <xf numFmtId="165" fontId="2" fillId="2" borderId="42" xfId="1" applyNumberFormat="1" applyFont="1" applyFill="1" applyBorder="1"/>
    <xf numFmtId="165" fontId="4" fillId="2" borderId="23" xfId="1" applyNumberFormat="1" applyFont="1" applyFill="1" applyBorder="1"/>
    <xf numFmtId="0" fontId="4" fillId="2" borderId="22" xfId="0" applyFont="1" applyFill="1" applyBorder="1" applyAlignment="1">
      <alignment vertical="top" wrapText="1"/>
    </xf>
    <xf numFmtId="0" fontId="4" fillId="2" borderId="24" xfId="0" applyFont="1" applyFill="1" applyBorder="1" applyAlignment="1">
      <alignment vertical="top"/>
    </xf>
    <xf numFmtId="165" fontId="2" fillId="2" borderId="12" xfId="1" applyNumberFormat="1" applyFont="1" applyFill="1" applyBorder="1" applyAlignment="1">
      <alignment horizontal="right" vertical="top"/>
    </xf>
    <xf numFmtId="165" fontId="2" fillId="2" borderId="26" xfId="1" applyNumberFormat="1" applyFont="1" applyFill="1" applyBorder="1"/>
    <xf numFmtId="165" fontId="4" fillId="2" borderId="25" xfId="1" applyNumberFormat="1" applyFont="1" applyFill="1" applyBorder="1"/>
    <xf numFmtId="0" fontId="4" fillId="2" borderId="18" xfId="0" applyFont="1" applyFill="1" applyBorder="1"/>
    <xf numFmtId="165" fontId="2" fillId="2" borderId="50" xfId="1" applyNumberFormat="1" applyFont="1" applyFill="1" applyBorder="1"/>
    <xf numFmtId="165" fontId="17" fillId="2" borderId="6" xfId="1" applyNumberFormat="1" applyFont="1" applyFill="1" applyBorder="1" applyAlignment="1">
      <alignment horizontal="right" vertical="top"/>
    </xf>
    <xf numFmtId="165" fontId="17" fillId="2" borderId="8" xfId="1" applyNumberFormat="1" applyFont="1" applyFill="1" applyBorder="1" applyAlignment="1">
      <alignment horizontal="right" vertical="top"/>
    </xf>
    <xf numFmtId="165" fontId="17" fillId="2" borderId="3" xfId="1" applyNumberFormat="1" applyFont="1" applyFill="1" applyBorder="1" applyAlignment="1">
      <alignment horizontal="right" vertical="top"/>
    </xf>
    <xf numFmtId="3" fontId="2" fillId="2" borderId="52" xfId="0" applyNumberFormat="1" applyFont="1" applyFill="1" applyBorder="1"/>
    <xf numFmtId="0" fontId="4" fillId="2" borderId="2" xfId="0" applyFont="1" applyFill="1" applyBorder="1" applyAlignment="1">
      <alignment vertical="top" wrapText="1"/>
    </xf>
    <xf numFmtId="0" fontId="4" fillId="2" borderId="22" xfId="0" applyFont="1" applyFill="1" applyBorder="1" applyAlignment="1">
      <alignment horizontal="left" vertical="top" wrapText="1"/>
    </xf>
    <xf numFmtId="165" fontId="17" fillId="2" borderId="5" xfId="1" applyNumberFormat="1" applyFont="1" applyFill="1" applyBorder="1"/>
    <xf numFmtId="165" fontId="17" fillId="2" borderId="7" xfId="1" applyNumberFormat="1" applyFont="1" applyFill="1" applyBorder="1"/>
    <xf numFmtId="165" fontId="17" fillId="2" borderId="43" xfId="1" applyNumberFormat="1" applyFont="1" applyFill="1" applyBorder="1"/>
    <xf numFmtId="165" fontId="8" fillId="2" borderId="24" xfId="0" applyNumberFormat="1" applyFont="1" applyFill="1" applyBorder="1"/>
    <xf numFmtId="165" fontId="17" fillId="2" borderId="26" xfId="0" applyNumberFormat="1" applyFont="1" applyFill="1" applyBorder="1"/>
    <xf numFmtId="165" fontId="17" fillId="2" borderId="27" xfId="0" applyNumberFormat="1" applyFont="1" applyFill="1" applyBorder="1"/>
    <xf numFmtId="165" fontId="17" fillId="2" borderId="36" xfId="0" applyNumberFormat="1" applyFont="1" applyFill="1" applyBorder="1"/>
    <xf numFmtId="165" fontId="8" fillId="2" borderId="2" xfId="0" applyNumberFormat="1" applyFont="1" applyFill="1" applyBorder="1"/>
    <xf numFmtId="165" fontId="17" fillId="2" borderId="3" xfId="1" applyNumberFormat="1" applyFont="1" applyFill="1" applyBorder="1"/>
    <xf numFmtId="165" fontId="17" fillId="2" borderId="6" xfId="1" applyNumberFormat="1" applyFont="1" applyFill="1" applyBorder="1"/>
    <xf numFmtId="165" fontId="17" fillId="2" borderId="8" xfId="1" applyNumberFormat="1" applyFont="1" applyFill="1" applyBorder="1"/>
    <xf numFmtId="165" fontId="4" fillId="2" borderId="18" xfId="1" applyNumberFormat="1" applyFont="1" applyFill="1" applyBorder="1"/>
    <xf numFmtId="0" fontId="15" fillId="2" borderId="53" xfId="0" applyFont="1" applyFill="1" applyBorder="1"/>
    <xf numFmtId="0" fontId="4" fillId="2" borderId="2" xfId="0" applyFont="1" applyFill="1" applyBorder="1" applyAlignment="1">
      <alignment wrapText="1"/>
    </xf>
    <xf numFmtId="165" fontId="2" fillId="2" borderId="16" xfId="1" applyNumberFormat="1" applyFont="1" applyFill="1" applyBorder="1"/>
    <xf numFmtId="165" fontId="2" fillId="2" borderId="35" xfId="1" applyNumberFormat="1" applyFont="1" applyFill="1" applyBorder="1"/>
    <xf numFmtId="0" fontId="2" fillId="2" borderId="33" xfId="0" applyFont="1" applyFill="1" applyBorder="1"/>
    <xf numFmtId="0" fontId="2" fillId="2" borderId="32" xfId="0" applyFont="1" applyFill="1" applyBorder="1"/>
    <xf numFmtId="166" fontId="2" fillId="2" borderId="13" xfId="2" applyNumberFormat="1" applyFont="1" applyFill="1" applyBorder="1"/>
    <xf numFmtId="166" fontId="2" fillId="2" borderId="14" xfId="2" applyNumberFormat="1" applyFont="1" applyFill="1" applyBorder="1"/>
    <xf numFmtId="165" fontId="2" fillId="2" borderId="5" xfId="1" applyNumberFormat="1" applyFont="1" applyFill="1" applyBorder="1"/>
    <xf numFmtId="165" fontId="4" fillId="2" borderId="24" xfId="0" applyNumberFormat="1" applyFont="1" applyFill="1" applyBorder="1"/>
    <xf numFmtId="0" fontId="4" fillId="2" borderId="33" xfId="0" applyFont="1" applyFill="1" applyBorder="1"/>
    <xf numFmtId="0" fontId="19" fillId="2" borderId="0" xfId="0" applyFont="1" applyFill="1" applyAlignment="1">
      <alignment horizontal="left"/>
    </xf>
    <xf numFmtId="0" fontId="3" fillId="2" borderId="0" xfId="0" applyFont="1" applyFill="1" applyAlignment="1">
      <alignment vertical="top"/>
    </xf>
    <xf numFmtId="0" fontId="4" fillId="2" borderId="38" xfId="0" applyFont="1" applyFill="1" applyBorder="1"/>
    <xf numFmtId="0" fontId="13" fillId="2" borderId="0" xfId="4" applyFont="1" applyFill="1" applyAlignment="1">
      <alignment vertical="center"/>
    </xf>
    <xf numFmtId="0" fontId="21" fillId="2" borderId="0" xfId="12" applyFont="1" applyFill="1"/>
    <xf numFmtId="0" fontId="20" fillId="2" borderId="0" xfId="12" applyFont="1" applyFill="1" applyAlignment="1">
      <alignment vertical="top" wrapText="1" readingOrder="1"/>
    </xf>
    <xf numFmtId="0" fontId="20" fillId="2" borderId="0" xfId="0" applyFont="1" applyFill="1" applyAlignment="1">
      <alignment vertical="top" readingOrder="1"/>
    </xf>
    <xf numFmtId="165" fontId="4" fillId="2" borderId="49" xfId="1" applyNumberFormat="1" applyFont="1" applyFill="1" applyBorder="1" applyAlignment="1">
      <alignment horizontal="center" vertical="center" wrapText="1"/>
    </xf>
    <xf numFmtId="165" fontId="4" fillId="2" borderId="48" xfId="1" applyNumberFormat="1" applyFont="1" applyFill="1" applyBorder="1" applyAlignment="1">
      <alignment horizontal="center" vertical="top" wrapText="1"/>
    </xf>
    <xf numFmtId="165" fontId="4" fillId="2" borderId="47" xfId="1" applyNumberFormat="1" applyFont="1" applyFill="1" applyBorder="1" applyAlignment="1">
      <alignment horizontal="center" vertical="top" wrapText="1"/>
    </xf>
    <xf numFmtId="165" fontId="4" fillId="2" borderId="0" xfId="1" applyNumberFormat="1" applyFont="1" applyFill="1" applyBorder="1" applyAlignment="1">
      <alignment vertical="center" wrapText="1"/>
    </xf>
    <xf numFmtId="0" fontId="13" fillId="0" borderId="0" xfId="4" applyFont="1" applyAlignment="1" applyProtection="1">
      <alignment vertical="top" wrapText="1" readingOrder="1"/>
      <protection locked="0"/>
    </xf>
    <xf numFmtId="0" fontId="13" fillId="0" borderId="0" xfId="4" applyFont="1"/>
    <xf numFmtId="0" fontId="7" fillId="0" borderId="0" xfId="4" applyAlignment="1">
      <alignment vertical="top" wrapText="1"/>
    </xf>
    <xf numFmtId="0" fontId="10" fillId="0" borderId="0" xfId="3" applyFont="1" applyAlignment="1" applyProtection="1">
      <alignment vertical="top" wrapText="1" readingOrder="1"/>
      <protection locked="0"/>
    </xf>
    <xf numFmtId="167" fontId="0" fillId="2" borderId="0" xfId="0" applyNumberFormat="1" applyFill="1"/>
    <xf numFmtId="165" fontId="17" fillId="2" borderId="1" xfId="1" applyNumberFormat="1" applyFont="1" applyFill="1" applyBorder="1" applyAlignment="1">
      <alignment horizontal="right" vertical="top"/>
    </xf>
    <xf numFmtId="0" fontId="4" fillId="2" borderId="23" xfId="0" applyFont="1" applyFill="1" applyBorder="1" applyAlignment="1">
      <alignment horizontal="left" vertical="top" wrapText="1"/>
    </xf>
    <xf numFmtId="0" fontId="4" fillId="2" borderId="24" xfId="0" applyFont="1" applyFill="1" applyBorder="1" applyAlignment="1">
      <alignment horizontal="left"/>
    </xf>
    <xf numFmtId="165" fontId="17" fillId="2" borderId="4" xfId="1" applyNumberFormat="1" applyFont="1" applyFill="1" applyBorder="1" applyAlignment="1">
      <alignment horizontal="right" vertical="top"/>
    </xf>
    <xf numFmtId="165" fontId="17" fillId="2" borderId="5" xfId="0" applyNumberFormat="1" applyFont="1" applyFill="1" applyBorder="1"/>
    <xf numFmtId="165" fontId="17" fillId="2" borderId="7" xfId="0" applyNumberFormat="1" applyFont="1" applyFill="1" applyBorder="1"/>
    <xf numFmtId="165" fontId="17" fillId="2" borderId="9" xfId="1" applyNumberFormat="1" applyFont="1" applyFill="1" applyBorder="1" applyAlignment="1">
      <alignment horizontal="right" vertical="top"/>
    </xf>
    <xf numFmtId="165" fontId="17" fillId="2" borderId="10" xfId="0" applyNumberFormat="1" applyFont="1" applyFill="1" applyBorder="1"/>
    <xf numFmtId="0" fontId="13" fillId="2" borderId="0" xfId="6" applyFont="1" applyFill="1" applyAlignment="1" applyProtection="1">
      <alignment vertical="top" wrapText="1" readingOrder="1"/>
      <protection locked="0"/>
    </xf>
    <xf numFmtId="0" fontId="2" fillId="2" borderId="14" xfId="0" applyFont="1" applyFill="1" applyBorder="1" applyAlignment="1">
      <alignment vertical="center"/>
    </xf>
    <xf numFmtId="165" fontId="2" fillId="2" borderId="57" xfId="1" applyNumberFormat="1" applyFont="1" applyFill="1" applyBorder="1"/>
    <xf numFmtId="165" fontId="17" fillId="2" borderId="14" xfId="1" applyNumberFormat="1" applyFont="1" applyFill="1" applyBorder="1"/>
    <xf numFmtId="165" fontId="17" fillId="2" borderId="10" xfId="1" applyNumberFormat="1" applyFont="1" applyFill="1" applyBorder="1"/>
    <xf numFmtId="165" fontId="17" fillId="2" borderId="12" xfId="1" applyNumberFormat="1" applyFont="1" applyFill="1" applyBorder="1"/>
    <xf numFmtId="166" fontId="2" fillId="2" borderId="35" xfId="2" applyNumberFormat="1" applyFont="1" applyFill="1" applyBorder="1"/>
    <xf numFmtId="166" fontId="2" fillId="2" borderId="50" xfId="2" applyNumberFormat="1" applyFont="1" applyFill="1" applyBorder="1"/>
    <xf numFmtId="165" fontId="8" fillId="2" borderId="22" xfId="1" applyNumberFormat="1" applyFont="1" applyFill="1" applyBorder="1"/>
    <xf numFmtId="165" fontId="8" fillId="2" borderId="2" xfId="1" applyNumberFormat="1" applyFont="1" applyFill="1" applyBorder="1"/>
    <xf numFmtId="164" fontId="17" fillId="2" borderId="21" xfId="1" applyNumberFormat="1" applyFont="1" applyFill="1" applyBorder="1"/>
    <xf numFmtId="164" fontId="17" fillId="2" borderId="7" xfId="1" applyNumberFormat="1" applyFont="1" applyFill="1" applyBorder="1"/>
    <xf numFmtId="164" fontId="17" fillId="2" borderId="43" xfId="1" applyNumberFormat="1" applyFont="1" applyFill="1" applyBorder="1"/>
    <xf numFmtId="164" fontId="8" fillId="2" borderId="24" xfId="1" applyNumberFormat="1" applyFont="1" applyFill="1" applyBorder="1"/>
    <xf numFmtId="3" fontId="8" fillId="2" borderId="2" xfId="0" applyNumberFormat="1" applyFont="1" applyFill="1" applyBorder="1" applyAlignment="1">
      <alignment horizontal="left" vertical="top" wrapText="1"/>
    </xf>
    <xf numFmtId="0" fontId="8" fillId="2" borderId="25" xfId="0" applyFont="1" applyFill="1" applyBorder="1" applyAlignment="1">
      <alignment horizontal="center" vertical="center" wrapText="1"/>
    </xf>
    <xf numFmtId="168" fontId="4" fillId="2" borderId="0" xfId="1" applyNumberFormat="1" applyFont="1" applyFill="1" applyBorder="1" applyAlignment="1">
      <alignment vertical="center" wrapText="1"/>
    </xf>
    <xf numFmtId="168" fontId="0" fillId="2" borderId="0" xfId="0" applyNumberFormat="1" applyFill="1"/>
    <xf numFmtId="165" fontId="17" fillId="2" borderId="4" xfId="1" applyNumberFormat="1" applyFont="1" applyFill="1" applyBorder="1"/>
    <xf numFmtId="165" fontId="17" fillId="2" borderId="5" xfId="1" applyNumberFormat="1" applyFont="1" applyFill="1" applyBorder="1" applyAlignment="1">
      <alignment wrapText="1"/>
    </xf>
    <xf numFmtId="165" fontId="17" fillId="2" borderId="1" xfId="1" applyNumberFormat="1" applyFont="1" applyFill="1" applyBorder="1"/>
    <xf numFmtId="165" fontId="17" fillId="2" borderId="7" xfId="1" applyNumberFormat="1" applyFont="1" applyFill="1" applyBorder="1" applyAlignment="1">
      <alignment wrapText="1"/>
    </xf>
    <xf numFmtId="165" fontId="17" fillId="2" borderId="20" xfId="1" applyNumberFormat="1" applyFont="1" applyFill="1" applyBorder="1" applyAlignment="1">
      <alignment horizontal="right" vertical="top"/>
    </xf>
    <xf numFmtId="165" fontId="17" fillId="2" borderId="21" xfId="1" applyNumberFormat="1" applyFont="1" applyFill="1" applyBorder="1" applyAlignment="1">
      <alignment horizontal="right" vertical="top"/>
    </xf>
    <xf numFmtId="165" fontId="17" fillId="2" borderId="10" xfId="1" applyNumberFormat="1" applyFont="1" applyFill="1" applyBorder="1" applyAlignment="1">
      <alignment horizontal="right" vertical="top"/>
    </xf>
    <xf numFmtId="0" fontId="17" fillId="2" borderId="9" xfId="0" applyFont="1" applyFill="1" applyBorder="1" applyAlignment="1">
      <alignment horizontal="right"/>
    </xf>
    <xf numFmtId="165" fontId="17" fillId="2" borderId="10" xfId="1" applyNumberFormat="1" applyFont="1" applyFill="1" applyBorder="1" applyAlignment="1">
      <alignment horizontal="right" wrapText="1"/>
    </xf>
    <xf numFmtId="0" fontId="10" fillId="0" borderId="0" xfId="3" applyFont="1" applyAlignment="1">
      <alignment horizontal="left"/>
    </xf>
    <xf numFmtId="0" fontId="3" fillId="0" borderId="0" xfId="0" applyFont="1" applyAlignment="1">
      <alignment horizontal="left"/>
    </xf>
    <xf numFmtId="0" fontId="10" fillId="2" borderId="0" xfId="3" applyFont="1" applyFill="1" applyAlignment="1" applyProtection="1"/>
    <xf numFmtId="0" fontId="4" fillId="2" borderId="32" xfId="1" applyNumberFormat="1" applyFont="1" applyFill="1" applyBorder="1" applyAlignment="1">
      <alignment vertical="center" wrapText="1"/>
    </xf>
    <xf numFmtId="0" fontId="2" fillId="2" borderId="40" xfId="1" applyNumberFormat="1" applyFont="1" applyFill="1" applyBorder="1"/>
    <xf numFmtId="0" fontId="2" fillId="2" borderId="27" xfId="1" applyNumberFormat="1" applyFont="1" applyFill="1" applyBorder="1"/>
    <xf numFmtId="0" fontId="2" fillId="2" borderId="28" xfId="1" applyNumberFormat="1" applyFont="1" applyFill="1" applyBorder="1"/>
    <xf numFmtId="0" fontId="12" fillId="0" borderId="0" xfId="0" applyFont="1" applyAlignment="1" applyProtection="1">
      <alignment horizontal="left" vertical="top" wrapText="1" readingOrder="1"/>
      <protection locked="0"/>
    </xf>
    <xf numFmtId="0" fontId="9" fillId="2" borderId="0" xfId="0" applyFont="1" applyFill="1" applyAlignment="1">
      <alignment horizontal="left" wrapText="1"/>
    </xf>
    <xf numFmtId="0" fontId="9" fillId="2" borderId="0" xfId="0" applyFont="1" applyFill="1" applyAlignment="1">
      <alignment horizontal="left"/>
    </xf>
    <xf numFmtId="0" fontId="7" fillId="2" borderId="0" xfId="0" applyFont="1" applyFill="1"/>
    <xf numFmtId="0" fontId="10" fillId="0" borderId="0" xfId="3" applyFont="1" applyAlignment="1">
      <alignment horizontal="left"/>
    </xf>
    <xf numFmtId="0" fontId="7" fillId="0" borderId="0" xfId="4" applyAlignment="1">
      <alignment horizontal="left" vertical="top" wrapText="1"/>
    </xf>
    <xf numFmtId="0" fontId="7" fillId="0" borderId="0" xfId="4" applyAlignment="1">
      <alignment horizontal="left" vertical="top"/>
    </xf>
    <xf numFmtId="0" fontId="13" fillId="0" borderId="0" xfId="4" applyFont="1" applyAlignment="1" applyProtection="1">
      <alignment vertical="top" wrapText="1" readingOrder="1"/>
      <protection locked="0"/>
    </xf>
    <xf numFmtId="0" fontId="13" fillId="0" borderId="0" xfId="4" applyFont="1"/>
    <xf numFmtId="0" fontId="22" fillId="0" borderId="0" xfId="4" applyFont="1" applyAlignment="1" applyProtection="1">
      <alignment vertical="top" wrapText="1" readingOrder="1"/>
      <protection locked="0"/>
    </xf>
    <xf numFmtId="0" fontId="17" fillId="0" borderId="0" xfId="4" applyFont="1"/>
    <xf numFmtId="0" fontId="4" fillId="2" borderId="25" xfId="0" applyFont="1" applyFill="1" applyBorder="1" applyAlignment="1">
      <alignment horizontal="center" vertical="center"/>
    </xf>
    <xf numFmtId="0" fontId="4" fillId="2" borderId="18" xfId="0" applyFont="1" applyFill="1" applyBorder="1" applyAlignment="1">
      <alignment horizontal="center" vertical="center"/>
    </xf>
    <xf numFmtId="0" fontId="20" fillId="2" borderId="0" xfId="12" applyFont="1" applyFill="1" applyAlignment="1">
      <alignment horizontal="left" vertical="top" wrapText="1" readingOrder="1"/>
    </xf>
    <xf numFmtId="0" fontId="20" fillId="2" borderId="0" xfId="12" applyFont="1" applyFill="1" applyAlignment="1">
      <alignment vertical="top" wrapText="1" readingOrder="1"/>
    </xf>
    <xf numFmtId="0" fontId="21" fillId="2" borderId="0" xfId="12" applyFont="1" applyFill="1"/>
    <xf numFmtId="0" fontId="4" fillId="2" borderId="25" xfId="0" applyFont="1" applyFill="1" applyBorder="1" applyAlignment="1">
      <alignment horizontal="center"/>
    </xf>
    <xf numFmtId="0" fontId="4" fillId="2" borderId="18" xfId="0" applyFont="1" applyFill="1" applyBorder="1" applyAlignment="1">
      <alignment horizontal="center"/>
    </xf>
    <xf numFmtId="0" fontId="7" fillId="2" borderId="53" xfId="6" applyFill="1" applyBorder="1" applyAlignment="1" applyProtection="1">
      <alignment horizontal="left" vertical="top" wrapText="1" readingOrder="1"/>
      <protection locked="0"/>
    </xf>
    <xf numFmtId="0" fontId="7" fillId="2" borderId="0" xfId="6" applyFill="1" applyAlignment="1" applyProtection="1">
      <alignment horizontal="left" vertical="top" wrapText="1" readingOrder="1"/>
      <protection locked="0"/>
    </xf>
    <xf numFmtId="0" fontId="7" fillId="2" borderId="54" xfId="6" applyFill="1" applyBorder="1" applyAlignment="1" applyProtection="1">
      <alignment horizontal="left" vertical="top" wrapText="1" readingOrder="1"/>
      <protection locked="0"/>
    </xf>
    <xf numFmtId="0" fontId="3" fillId="2" borderId="0" xfId="0" applyFont="1" applyFill="1" applyAlignment="1">
      <alignment horizontal="left" wrapText="1"/>
    </xf>
    <xf numFmtId="0" fontId="13" fillId="2" borderId="0" xfId="6" applyFont="1" applyFill="1" applyAlignment="1" applyProtection="1">
      <alignment horizontal="left" vertical="top" wrapText="1" readingOrder="1"/>
      <protection locked="0"/>
    </xf>
    <xf numFmtId="0" fontId="4" fillId="2" borderId="32" xfId="0" applyFont="1" applyFill="1" applyBorder="1" applyAlignment="1">
      <alignment horizontal="center"/>
    </xf>
    <xf numFmtId="0" fontId="4" fillId="2" borderId="33" xfId="0" applyFont="1" applyFill="1" applyBorder="1" applyAlignment="1">
      <alignment horizontal="center"/>
    </xf>
    <xf numFmtId="0" fontId="4" fillId="2" borderId="34" xfId="0" applyFont="1" applyFill="1" applyBorder="1" applyAlignment="1">
      <alignment horizontal="center"/>
    </xf>
    <xf numFmtId="0" fontId="4" fillId="2" borderId="37" xfId="0" applyFont="1" applyFill="1" applyBorder="1" applyAlignment="1">
      <alignment horizontal="left" vertical="center" wrapText="1"/>
    </xf>
    <xf numFmtId="0" fontId="4" fillId="2" borderId="52" xfId="0" applyFont="1" applyFill="1" applyBorder="1" applyAlignment="1">
      <alignment horizontal="left" vertical="center" wrapText="1"/>
    </xf>
    <xf numFmtId="0" fontId="4" fillId="2" borderId="47" xfId="0" applyFont="1" applyFill="1" applyBorder="1" applyAlignment="1">
      <alignment horizontal="center" vertical="top" wrapText="1"/>
    </xf>
    <xf numFmtId="0" fontId="4" fillId="2" borderId="46" xfId="0" applyFont="1" applyFill="1" applyBorder="1" applyAlignment="1">
      <alignment horizontal="center" vertical="top" wrapText="1"/>
    </xf>
    <xf numFmtId="0" fontId="4" fillId="2" borderId="48" xfId="0" applyFont="1" applyFill="1" applyBorder="1" applyAlignment="1">
      <alignment horizontal="center" vertical="top" wrapText="1"/>
    </xf>
    <xf numFmtId="0" fontId="4" fillId="2" borderId="45" xfId="0" applyFont="1" applyFill="1" applyBorder="1" applyAlignment="1">
      <alignment horizontal="center" vertical="top" wrapText="1"/>
    </xf>
    <xf numFmtId="0" fontId="4" fillId="2" borderId="34" xfId="0" applyFont="1" applyFill="1" applyBorder="1" applyAlignment="1">
      <alignment horizontal="center" vertical="top" wrapText="1"/>
    </xf>
    <xf numFmtId="0" fontId="4" fillId="2" borderId="51" xfId="0" applyFont="1" applyFill="1" applyBorder="1" applyAlignment="1">
      <alignment horizontal="center" vertical="top" wrapText="1"/>
    </xf>
    <xf numFmtId="0" fontId="4" fillId="2" borderId="2" xfId="0" applyFont="1" applyFill="1" applyBorder="1" applyAlignment="1">
      <alignment horizontal="center"/>
    </xf>
    <xf numFmtId="0" fontId="4" fillId="2" borderId="22" xfId="0" applyFont="1" applyFill="1" applyBorder="1" applyAlignment="1">
      <alignment horizontal="center"/>
    </xf>
    <xf numFmtId="0" fontId="4" fillId="2" borderId="24" xfId="0" applyFont="1" applyFill="1" applyBorder="1" applyAlignment="1">
      <alignment horizontal="center"/>
    </xf>
  </cellXfs>
  <cellStyles count="59">
    <cellStyle name="Comma" xfId="1" builtinId="3"/>
    <cellStyle name="Comma 13" xfId="11" xr:uid="{AC7B0A93-675B-430B-B5DB-65677C5FFFA7}"/>
    <cellStyle name="Comma 2" xfId="18" xr:uid="{79A1E9F7-56CF-46BB-B48D-A0EC63AD5C0F}"/>
    <cellStyle name="Comma 2 2" xfId="27" xr:uid="{AB4898EC-9DB2-4DA2-B481-35AC5F2BA84B}"/>
    <cellStyle name="Comma 2 2 2" xfId="48" xr:uid="{D0E93BA8-74A2-472B-948A-EB7BE8D5147B}"/>
    <cellStyle name="Comma 2 3" xfId="45" xr:uid="{964253FF-8B91-4FD1-8A28-FB5F1FAE8FBB}"/>
    <cellStyle name="Comma 3" xfId="28" xr:uid="{496C2821-BD53-47F6-9598-EF2C46CA39DE}"/>
    <cellStyle name="Comma 3 2" xfId="49" xr:uid="{3CB4704D-4CC4-4578-A97F-4600F0CF17F0}"/>
    <cellStyle name="Comma 4" xfId="13" xr:uid="{FE43FF34-0813-4786-B47B-6A3DAB7FD9CB}"/>
    <cellStyle name="Comma 4 2" xfId="47" xr:uid="{0B3E01D7-5896-46F0-ACC7-0F6A51787725}"/>
    <cellStyle name="Comma 5" xfId="24" xr:uid="{F5B878B6-8907-4A69-A72D-BAAE45CBBF8D}"/>
    <cellStyle name="Followed Hyperlink 2" xfId="38" xr:uid="{C0761A04-0EFC-4B5E-8111-4E442B2412BA}"/>
    <cellStyle name="Hyperlink" xfId="3" builtinId="8"/>
    <cellStyle name="Hyperlink 2" xfId="5" xr:uid="{E8EF6735-BBAE-4C82-8704-FCFB00B734B0}"/>
    <cellStyle name="Hyperlink 2 2 3" xfId="8" xr:uid="{BC9DB945-DF1C-4D10-823B-C6CB629936B5}"/>
    <cellStyle name="Hyperlink 3" xfId="37" xr:uid="{210E3769-507A-4CCE-99A7-A06651089017}"/>
    <cellStyle name="Hyperlink 4" xfId="26" xr:uid="{6506457E-059C-4B06-962A-2C8E0483CD17}"/>
    <cellStyle name="Hyperlink 5" xfId="16" xr:uid="{34DB6E8E-E3F9-4D46-BB98-4BFCEB4E2123}"/>
    <cellStyle name="Normal" xfId="0" builtinId="0"/>
    <cellStyle name="Normal 14" xfId="7" xr:uid="{3D5E397D-3BC9-48CB-B5D4-F0481614B51D}"/>
    <cellStyle name="Normal 2" xfId="4" xr:uid="{679D5669-B5C5-4A3E-9F62-515BAFC7EA99}"/>
    <cellStyle name="Normal 2 2" xfId="19" xr:uid="{010C21D2-A67E-4146-A0E8-713A0D4E8B1C}"/>
    <cellStyle name="Normal 2 2 2" xfId="6" xr:uid="{48638234-2430-43C3-AB57-936A20FD42FA}"/>
    <cellStyle name="Normal 2 2 2 2" xfId="14" xr:uid="{76FDD7FB-FBDF-4D5F-A4D7-7EB042FC25F2}"/>
    <cellStyle name="Normal 2 3" xfId="21" xr:uid="{0C9247C4-AD57-4FC3-95CD-F05BB5A6F71A}"/>
    <cellStyle name="Normal 2 5" xfId="15" xr:uid="{30169EA8-64CE-4BF7-B651-004B8DB72033}"/>
    <cellStyle name="Normal 3" xfId="12" xr:uid="{FEDEB3B4-880D-4B8D-83AB-E4B3BD995EC2}"/>
    <cellStyle name="Normal 3 2" xfId="30" xr:uid="{4601839E-C018-4403-946C-AC309A59430F}"/>
    <cellStyle name="Normal 3 2 2" xfId="51" xr:uid="{A09B5F16-B2A4-4291-A2F1-41B0FEB1B6FF}"/>
    <cellStyle name="Normal 3 3" xfId="29" xr:uid="{E232E4C1-42AB-44E3-B010-B0886E79FC04}"/>
    <cellStyle name="Normal 3 3 2" xfId="50" xr:uid="{3269EED9-F44B-4984-B70C-E70CAD7FDAED}"/>
    <cellStyle name="Normal 3 4" xfId="46" xr:uid="{25607623-C665-409D-850F-58EF6454B817}"/>
    <cellStyle name="Normal 3 5" xfId="20" xr:uid="{123E42C8-A568-46ED-B6D3-812D73677BE4}"/>
    <cellStyle name="Normal 3 6" xfId="58" xr:uid="{0AF1679C-460D-4C32-91C2-FC9F6020347D}"/>
    <cellStyle name="Normal 4" xfId="31" xr:uid="{3D662A42-AEB4-4A6B-8FBA-F53F27D0356F}"/>
    <cellStyle name="Normal 5" xfId="41" xr:uid="{043BF236-8DBF-4153-BBF2-D91E09673118}"/>
    <cellStyle name="Normal 5 3 5" xfId="9" xr:uid="{DD6713AF-D302-4663-B22E-A9E7644BCF2B}"/>
    <cellStyle name="Normal 6" xfId="42" xr:uid="{C00141BD-0190-4B1F-8D0F-DE9F13E0764E}"/>
    <cellStyle name="Normal 6 2" xfId="55" xr:uid="{01230DEB-AA19-4AD8-8CBF-EE7A395230EB}"/>
    <cellStyle name="Normal 7" xfId="43" xr:uid="{947E59CA-FC12-42D5-B59B-A5CB60569CCD}"/>
    <cellStyle name="Normal 7 2" xfId="56" xr:uid="{341648A6-8088-4C27-849A-0DC43BE67561}"/>
    <cellStyle name="Normal 8" xfId="44" xr:uid="{CCDAC3DF-6B26-4F7A-9510-479A334FE13D}"/>
    <cellStyle name="Normal 8 2" xfId="57" xr:uid="{C742918F-53E3-494E-AE2F-F28BE8DAFDE2}"/>
    <cellStyle name="Normal 8 3" xfId="52" xr:uid="{07D3844A-9A85-4B57-89B5-20CF2A439BA8}"/>
    <cellStyle name="Note 2" xfId="39" xr:uid="{CF5D0316-F347-40AA-B34C-7CA531111AE7}"/>
    <cellStyle name="Note 3" xfId="40" xr:uid="{30306195-5940-44E9-9428-BB07167EB7AC}"/>
    <cellStyle name="Per cent" xfId="2" builtinId="5"/>
    <cellStyle name="Percent 2" xfId="17" xr:uid="{1EE2376F-5CAC-4AC4-BA4C-3DF5E991D30D}"/>
    <cellStyle name="Percent 2 2" xfId="25" xr:uid="{1A00FF3B-5749-4471-9764-9CCC6399A8EB}"/>
    <cellStyle name="Percent 3" xfId="23" xr:uid="{E9A89F30-91DC-4C3F-8A1D-A0E13506ECF8}"/>
    <cellStyle name="Percent 3 2" xfId="33" xr:uid="{50D94C1C-23F0-49A8-B653-137635D34F1C}"/>
    <cellStyle name="Percent 3 2 2" xfId="34" xr:uid="{DF1A9900-0859-42F2-93D2-168E27454D78}"/>
    <cellStyle name="Percent 3 2 2 2" xfId="54" xr:uid="{F4985C2F-2E2F-4B16-9A6E-18C4EBF0A9DE}"/>
    <cellStyle name="Percent 3 3" xfId="32" xr:uid="{17870044-15AD-49D5-B52E-C097716AB38D}"/>
    <cellStyle name="Percent 3 3 2" xfId="53" xr:uid="{EA0F2109-4460-4A82-98AB-40EE9A3E8576}"/>
    <cellStyle name="Percent 4" xfId="35" xr:uid="{777E4159-A1B1-4720-8FD0-4DDEC5BEB1CA}"/>
    <cellStyle name="Percent 5" xfId="36" xr:uid="{C6D3E617-8B63-4694-9D76-41CC216F7B74}"/>
    <cellStyle name="Percent 6" xfId="22" xr:uid="{4C33A3E2-B69D-4536-82B0-CC10C5D2E649}"/>
    <cellStyle name="Percent 8 2 5" xfId="10" xr:uid="{B4B7B13E-0FF6-4500-BEC7-BF63F9BC1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0</xdr:rowOff>
    </xdr:from>
    <xdr:to>
      <xdr:col>1</xdr:col>
      <xdr:colOff>374409</xdr:colOff>
      <xdr:row>33</xdr:row>
      <xdr:rowOff>428066</xdr:rowOff>
    </xdr:to>
    <xdr:pic>
      <xdr:nvPicPr>
        <xdr:cNvPr id="3" name="Picture 2" descr="48bf4cd158a94aebada082d9c5a61d4a">
          <a:extLst>
            <a:ext uri="{FF2B5EF4-FFF2-40B4-BE49-F238E27FC236}">
              <a16:creationId xmlns:a16="http://schemas.microsoft.com/office/drawing/2014/main" id="{785BBAAA-2A33-4457-BDAA-2C486E0D2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23100"/>
          <a:ext cx="101575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6899096</xdr:colOff>
      <xdr:row>0</xdr:row>
      <xdr:rowOff>0</xdr:rowOff>
    </xdr:from>
    <xdr:to>
      <xdr:col>1</xdr:col>
      <xdr:colOff>8677275</xdr:colOff>
      <xdr:row>7</xdr:row>
      <xdr:rowOff>142082</xdr:rowOff>
    </xdr:to>
    <xdr:pic>
      <xdr:nvPicPr>
        <xdr:cNvPr id="5" name="Picture 4" descr="NHS England logo">
          <a:extLst>
            <a:ext uri="{FF2B5EF4-FFF2-40B4-BE49-F238E27FC236}">
              <a16:creationId xmlns:a16="http://schemas.microsoft.com/office/drawing/2014/main" id="{098D092B-86DF-4B42-BE28-5FC7060BC1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575371" y="0"/>
          <a:ext cx="1778179" cy="1408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825500</xdr:colOff>
      <xdr:row>1</xdr:row>
      <xdr:rowOff>107157</xdr:rowOff>
    </xdr:to>
    <xdr:pic>
      <xdr:nvPicPr>
        <xdr:cNvPr id="2" name="Picture 1" descr="NHS England logo">
          <a:extLst>
            <a:ext uri="{FF2B5EF4-FFF2-40B4-BE49-F238E27FC236}">
              <a16:creationId xmlns:a16="http://schemas.microsoft.com/office/drawing/2014/main" id="{6CE31A76-6F67-4429-B6BB-77F3169742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273685</xdr:colOff>
      <xdr:row>1</xdr:row>
      <xdr:rowOff>182722</xdr:rowOff>
    </xdr:to>
    <xdr:pic>
      <xdr:nvPicPr>
        <xdr:cNvPr id="2" name="Picture 1" descr="NHS England logo">
          <a:extLst>
            <a:ext uri="{FF2B5EF4-FFF2-40B4-BE49-F238E27FC236}">
              <a16:creationId xmlns:a16="http://schemas.microsoft.com/office/drawing/2014/main" id="{F712E12A-3432-4E4B-B69D-DD9CDB7250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88085" cy="11352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273050</xdr:colOff>
      <xdr:row>1</xdr:row>
      <xdr:rowOff>170657</xdr:rowOff>
    </xdr:to>
    <xdr:pic>
      <xdr:nvPicPr>
        <xdr:cNvPr id="3" name="Picture 2" descr="NHS England logo">
          <a:extLst>
            <a:ext uri="{FF2B5EF4-FFF2-40B4-BE49-F238E27FC236}">
              <a16:creationId xmlns:a16="http://schemas.microsoft.com/office/drawing/2014/main" id="{A4FA48B2-D0FA-4157-B177-F4E1CF0634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273050</xdr:colOff>
      <xdr:row>1</xdr:row>
      <xdr:rowOff>170657</xdr:rowOff>
    </xdr:to>
    <xdr:pic>
      <xdr:nvPicPr>
        <xdr:cNvPr id="3" name="Picture 2" descr="NHS England logo">
          <a:extLst>
            <a:ext uri="{FF2B5EF4-FFF2-40B4-BE49-F238E27FC236}">
              <a16:creationId xmlns:a16="http://schemas.microsoft.com/office/drawing/2014/main" id="{BE8F085E-20EB-48D8-A0E4-90A9FDF79F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E0F69104-E4F1-440C-9317-7250156099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DE91D56D-B7ED-49A7-AA9A-6581B9B942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1177925</xdr:colOff>
      <xdr:row>1</xdr:row>
      <xdr:rowOff>182722</xdr:rowOff>
    </xdr:to>
    <xdr:pic>
      <xdr:nvPicPr>
        <xdr:cNvPr id="3" name="Picture 2" descr="NHS England logo">
          <a:extLst>
            <a:ext uri="{FF2B5EF4-FFF2-40B4-BE49-F238E27FC236}">
              <a16:creationId xmlns:a16="http://schemas.microsoft.com/office/drawing/2014/main" id="{57E0C7B6-C750-44E7-B719-A83F1196D4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77A78688-CD9E-46B0-8E0D-FBF2CD5B3A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305F001A-BE5D-412D-B3A0-0542F16A51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hscic.gov.uk/Documents%20and%20Settings/Sarah.Thomson/Desktop/CC/Critical%20Care/CC%20Tables%20and%20Charts%20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 Validity"/>
      <sheetName val="CC Unit Function"/>
      <sheetName val="CC Admission Type"/>
      <sheetName val="CC Admission Source"/>
      <sheetName val="CC Source Location"/>
      <sheetName val="CC Discharge Status"/>
      <sheetName val="CC Discharge Destination"/>
      <sheetName val="CC Discharge Location"/>
      <sheetName val="CC Unit Bed Config"/>
      <sheetName val="CC Start Discharge Time"/>
      <sheetName val="CC Gender"/>
      <sheetName val="CC Quinary Start Age"/>
      <sheetName val="CC Gender and Age"/>
      <sheetName val="CC IMD Group"/>
      <sheetName val="CC Quarter Month Day"/>
      <sheetName val="CC Support Days Raw"/>
      <sheetName val="CC Support Days Pivot"/>
      <sheetName val="CC HRG 3.5"/>
      <sheetName val="CC Duration"/>
      <sheetName val="Support Activities"/>
      <sheetName val="Best Match"/>
      <sheetName val="Basic Resp Support"/>
      <sheetName val="Neurological Support"/>
      <sheetName val="Adv Respiratory Support"/>
      <sheetName val="Basic Cardio Support"/>
      <sheetName val="Adv Cardio Support"/>
      <sheetName val="Dermatological Support"/>
      <sheetName val="Gastro Support"/>
      <sheetName val="Liver Support"/>
      <sheetName val="Renal Support"/>
    </sheetNames>
    <sheetDataSet>
      <sheetData sheetId="0"/>
      <sheetData sheetId="1">
        <row r="20">
          <cell r="A20">
            <v>1</v>
          </cell>
          <cell r="B20" t="str">
            <v>Non-specific, general adult critical care patients predominate</v>
          </cell>
          <cell r="C20" t="str">
            <v>Adult</v>
          </cell>
        </row>
        <row r="21">
          <cell r="A21">
            <v>2</v>
          </cell>
          <cell r="B21" t="str">
            <v>Surgical adult patients (unspecified specialty)</v>
          </cell>
          <cell r="C21" t="str">
            <v>Adult</v>
          </cell>
        </row>
        <row r="22">
          <cell r="A22">
            <v>3</v>
          </cell>
          <cell r="B22" t="str">
            <v>Medical adult patients (unspecified specialty)</v>
          </cell>
          <cell r="C22" t="str">
            <v>Adult</v>
          </cell>
        </row>
        <row r="23">
          <cell r="A23">
            <v>4</v>
          </cell>
          <cell r="B23" t="str">
            <v>Paediatric Intensive Care Unit (Paediatric critical care patients predominate)</v>
          </cell>
          <cell r="C23" t="str">
            <v>Paediatric</v>
          </cell>
        </row>
        <row r="24">
          <cell r="A24">
            <v>5</v>
          </cell>
          <cell r="B24" t="str">
            <v>Neurosciences adult patients predominate</v>
          </cell>
          <cell r="C24" t="str">
            <v>Adult</v>
          </cell>
        </row>
        <row r="25">
          <cell r="A25">
            <v>6</v>
          </cell>
          <cell r="B25" t="str">
            <v>Cardiac surgical adult patients predominate</v>
          </cell>
          <cell r="C25" t="str">
            <v>Adult</v>
          </cell>
        </row>
        <row r="26">
          <cell r="A26">
            <v>7</v>
          </cell>
          <cell r="B26" t="str">
            <v>Thoracic surgical adult patients predominate</v>
          </cell>
          <cell r="C26" t="str">
            <v>Adult</v>
          </cell>
        </row>
        <row r="27">
          <cell r="A27">
            <v>8</v>
          </cell>
          <cell r="B27" t="str">
            <v>Burns and plastic surgery adult patients predominate</v>
          </cell>
          <cell r="C27" t="str">
            <v>Adult</v>
          </cell>
        </row>
        <row r="28">
          <cell r="A28">
            <v>9</v>
          </cell>
          <cell r="B28" t="str">
            <v>Spinal adult patients predominate</v>
          </cell>
          <cell r="C28" t="str">
            <v>Adult</v>
          </cell>
        </row>
        <row r="29">
          <cell r="A29">
            <v>10</v>
          </cell>
          <cell r="B29" t="str">
            <v>Renal adult patients predominate</v>
          </cell>
          <cell r="C29" t="str">
            <v>Adult</v>
          </cell>
        </row>
        <row r="30">
          <cell r="A30">
            <v>11</v>
          </cell>
          <cell r="B30" t="str">
            <v>Liver adult patients predominate</v>
          </cell>
          <cell r="C30" t="str">
            <v>Adult</v>
          </cell>
        </row>
        <row r="31">
          <cell r="A31">
            <v>12</v>
          </cell>
          <cell r="B31" t="str">
            <v>Obstetric and gynaecology critical care patients predominate</v>
          </cell>
          <cell r="C31" t="str">
            <v>Adult</v>
          </cell>
        </row>
        <row r="32">
          <cell r="A32">
            <v>13</v>
          </cell>
          <cell r="B32" t="str">
            <v>Neonatal Intensive Care Unit (Neonatal critical care patients predominate)</v>
          </cell>
          <cell r="C32" t="str">
            <v>Neonatal</v>
          </cell>
        </row>
        <row r="33">
          <cell r="A33">
            <v>14</v>
          </cell>
          <cell r="B33" t="str">
            <v>Facility for Babies on a Neonatal Transitional Care Ward</v>
          </cell>
          <cell r="C33" t="str">
            <v>Neonatal</v>
          </cell>
        </row>
        <row r="34">
          <cell r="A34">
            <v>15</v>
          </cell>
          <cell r="B34" t="str">
            <v>Facility for Babies on a Maternity Ward</v>
          </cell>
          <cell r="C34" t="str">
            <v>Neonatal</v>
          </cell>
        </row>
        <row r="35">
          <cell r="A35">
            <v>16</v>
          </cell>
          <cell r="B35" t="str">
            <v>Ward for children and young people</v>
          </cell>
          <cell r="C35" t="str">
            <v>Paediatric</v>
          </cell>
        </row>
        <row r="36">
          <cell r="A36">
            <v>17</v>
          </cell>
          <cell r="B36" t="str">
            <v>High Dependency Unit for children and young people</v>
          </cell>
          <cell r="C36" t="str">
            <v>Paediatric</v>
          </cell>
        </row>
        <row r="37">
          <cell r="A37">
            <v>18</v>
          </cell>
          <cell r="B37" t="str">
            <v>Renal Unit for children and young people</v>
          </cell>
          <cell r="C37" t="str">
            <v>Paediatric</v>
          </cell>
        </row>
        <row r="38">
          <cell r="A38">
            <v>19</v>
          </cell>
          <cell r="B38" t="str">
            <v>Burns Unit for children and young people</v>
          </cell>
          <cell r="C38" t="str">
            <v>Paediatric</v>
          </cell>
        </row>
        <row r="39">
          <cell r="A39">
            <v>90</v>
          </cell>
          <cell r="B39" t="str">
            <v>non standard location using a ward area</v>
          </cell>
          <cell r="C39" t="str">
            <v>Adult</v>
          </cell>
        </row>
        <row r="40">
          <cell r="A40">
            <v>91</v>
          </cell>
          <cell r="B40" t="str">
            <v>non standard location using the operating department</v>
          </cell>
          <cell r="C40" t="str">
            <v>Other</v>
          </cell>
        </row>
        <row r="41">
          <cell r="A41">
            <v>92</v>
          </cell>
          <cell r="B41" t="str">
            <v>Non standard location using the operating department for children and young people</v>
          </cell>
          <cell r="C41" t="str">
            <v>Paediatric</v>
          </cell>
        </row>
      </sheetData>
      <sheetData sheetId="2"/>
      <sheetData sheetId="3">
        <row r="16">
          <cell r="A16">
            <v>1</v>
          </cell>
          <cell r="B16" t="str">
            <v>Same NHS hospital site</v>
          </cell>
        </row>
        <row r="17">
          <cell r="A17">
            <v>2</v>
          </cell>
          <cell r="B17" t="str">
            <v>Other NHS hospital site (same or different NHS Trust)</v>
          </cell>
        </row>
        <row r="18">
          <cell r="A18">
            <v>3</v>
          </cell>
          <cell r="B18" t="str">
            <v>Independent Hospital Provider in the UK</v>
          </cell>
        </row>
        <row r="19">
          <cell r="A19">
            <v>4</v>
          </cell>
          <cell r="B19" t="str">
            <v>Non-hospital source within the UK (e.g. home)</v>
          </cell>
        </row>
        <row r="20">
          <cell r="A20">
            <v>5</v>
          </cell>
          <cell r="B20" t="str">
            <v>Non UK source such as repatriation, military personnel or foreign national</v>
          </cell>
        </row>
      </sheetData>
      <sheetData sheetId="4">
        <row r="21">
          <cell r="A21">
            <v>1</v>
          </cell>
          <cell r="B21" t="str">
            <v>Theatre and Recovery (following surgical and/or anaesthetic procedure)</v>
          </cell>
        </row>
        <row r="22">
          <cell r="A22">
            <v>2</v>
          </cell>
          <cell r="B22" t="str">
            <v>Recovery only (when used to provide temporary critical care facility)</v>
          </cell>
        </row>
        <row r="23">
          <cell r="A23">
            <v>3</v>
          </cell>
          <cell r="B23" t="str">
            <v>Other Ward (not critical care)</v>
          </cell>
        </row>
        <row r="24">
          <cell r="A24">
            <v>4</v>
          </cell>
          <cell r="B24" t="str">
            <v>Imaging department</v>
          </cell>
        </row>
        <row r="25">
          <cell r="A25">
            <v>5</v>
          </cell>
          <cell r="B25" t="str">
            <v>Accident and emergency</v>
          </cell>
        </row>
        <row r="26">
          <cell r="A26">
            <v>6</v>
          </cell>
          <cell r="B26" t="str">
            <v>Other intermediate care or specialist treatment areas including endoscopy units and catheter suites</v>
          </cell>
        </row>
        <row r="27">
          <cell r="A27">
            <v>7</v>
          </cell>
          <cell r="B27" t="str">
            <v>Obstetrics area</v>
          </cell>
        </row>
        <row r="28">
          <cell r="A28">
            <v>8</v>
          </cell>
          <cell r="B28" t="str">
            <v>Clinic</v>
          </cell>
        </row>
        <row r="29">
          <cell r="A29">
            <v>9</v>
          </cell>
          <cell r="B29" t="str">
            <v>Home or other residence (including nursing home, H.M. Prison or other residential care)</v>
          </cell>
        </row>
        <row r="30">
          <cell r="A30">
            <v>10</v>
          </cell>
          <cell r="B30" t="str">
            <v>Adult level three critical care bed (ICU bed)</v>
          </cell>
        </row>
        <row r="31">
          <cell r="A31">
            <v>11</v>
          </cell>
          <cell r="B31" t="str">
            <v>Adult level two critical care bed (HDU bed)</v>
          </cell>
        </row>
        <row r="32">
          <cell r="A32">
            <v>12</v>
          </cell>
          <cell r="B32" t="str">
            <v>Paediatric critical care area (neonatal and paediatric care)</v>
          </cell>
        </row>
      </sheetData>
      <sheetData sheetId="5">
        <row r="21">
          <cell r="A21">
            <v>1</v>
          </cell>
          <cell r="B21" t="str">
            <v>Fully ready for discharge</v>
          </cell>
        </row>
        <row r="22">
          <cell r="A22">
            <v>2</v>
          </cell>
          <cell r="B22" t="str">
            <v>Discharge for palliative care</v>
          </cell>
        </row>
        <row r="23">
          <cell r="A23">
            <v>3</v>
          </cell>
          <cell r="B23" t="str">
            <v>Early discharge due to shortage of critical care beds</v>
          </cell>
        </row>
        <row r="24">
          <cell r="A24">
            <v>4</v>
          </cell>
          <cell r="B24" t="str">
            <v>Delayed discharge due to shortage of other ward beds</v>
          </cell>
        </row>
        <row r="25">
          <cell r="A25">
            <v>5</v>
          </cell>
          <cell r="B25" t="str">
            <v>Current level of care continuing in another location</v>
          </cell>
        </row>
        <row r="26">
          <cell r="A26">
            <v>6</v>
          </cell>
          <cell r="B26" t="str">
            <v>More specialised care in another location</v>
          </cell>
        </row>
        <row r="27">
          <cell r="A27">
            <v>7</v>
          </cell>
          <cell r="B27" t="str">
            <v>Self discharge against medical advice</v>
          </cell>
        </row>
        <row r="28">
          <cell r="A28">
            <v>8</v>
          </cell>
          <cell r="B28" t="str">
            <v>Patient died (no organs donated)</v>
          </cell>
        </row>
        <row r="29">
          <cell r="A29">
            <v>9</v>
          </cell>
          <cell r="B29" t="str">
            <v>Patient died and became heart beating organ donor for heart, lungs, kidney, liver or other solid internal organ.</v>
          </cell>
        </row>
        <row r="30">
          <cell r="A30">
            <v>10</v>
          </cell>
          <cell r="B30" t="str">
            <v>Patient died and provided cadaveric tissue donation</v>
          </cell>
        </row>
      </sheetData>
      <sheetData sheetId="6">
        <row r="16">
          <cell r="A16">
            <v>1</v>
          </cell>
          <cell r="B16" t="str">
            <v>Same NHS hospital site</v>
          </cell>
        </row>
        <row r="17">
          <cell r="A17">
            <v>2</v>
          </cell>
          <cell r="B17" t="str">
            <v>Other NHS hospital site (can be same Trust or a different NHS Trust)</v>
          </cell>
        </row>
        <row r="18">
          <cell r="A18">
            <v>3</v>
          </cell>
          <cell r="B18" t="str">
            <v>Independent Hospital Provider in the UK</v>
          </cell>
        </row>
        <row r="19">
          <cell r="A19">
            <v>4</v>
          </cell>
          <cell r="B19" t="str">
            <v>Non-hospital destination within the UK (e.g. home as coded in Location)</v>
          </cell>
        </row>
        <row r="20">
          <cell r="A20">
            <v>5</v>
          </cell>
          <cell r="B20" t="str">
            <v>Non United Kingdom destination (e.g. repatriation)</v>
          </cell>
        </row>
        <row r="21">
          <cell r="A21">
            <v>6</v>
          </cell>
          <cell r="B21" t="str">
            <v>No discharge destination, patient died in unit</v>
          </cell>
        </row>
      </sheetData>
      <sheetData sheetId="7">
        <row r="19">
          <cell r="A19">
            <v>1</v>
          </cell>
          <cell r="B19" t="str">
            <v>Ward</v>
          </cell>
        </row>
        <row r="20">
          <cell r="A20">
            <v>2</v>
          </cell>
          <cell r="B20" t="str">
            <v>Recovery only (when used to provide temporary critical care facility)</v>
          </cell>
        </row>
        <row r="21">
          <cell r="A21">
            <v>3</v>
          </cell>
          <cell r="B21" t="str">
            <v>Other intermediate care or specialised treatment area but excluding temporary visits en route, e.g. imaging, endoscopy, catheter suites and operating departments.</v>
          </cell>
        </row>
        <row r="22">
          <cell r="A22">
            <v>4</v>
          </cell>
          <cell r="B22" t="str">
            <v>Adult level three critical care bed (e.g. in a flexibly configured unit)</v>
          </cell>
        </row>
        <row r="23">
          <cell r="A23">
            <v>5</v>
          </cell>
          <cell r="B23" t="str">
            <v>Adult level two critical care bed (e.g. in a flexibly configured unit)</v>
          </cell>
        </row>
        <row r="24">
          <cell r="A24">
            <v>6</v>
          </cell>
          <cell r="B24" t="str">
            <v>No discharge location, patient died in unit</v>
          </cell>
        </row>
        <row r="25">
          <cell r="A25">
            <v>7</v>
          </cell>
          <cell r="B25" t="str">
            <v>Obstetrics area</v>
          </cell>
        </row>
        <row r="26">
          <cell r="A26">
            <v>8</v>
          </cell>
          <cell r="B26" t="str">
            <v>Paediatric critical care area (neonatal and paediatric care)</v>
          </cell>
        </row>
        <row r="27">
          <cell r="A27">
            <v>9</v>
          </cell>
          <cell r="B27" t="str">
            <v>Home or other residence (e.g. nursing home, H.M. Prison, residential care)</v>
          </cell>
        </row>
        <row r="28">
          <cell r="A28">
            <v>10</v>
          </cell>
          <cell r="B28" t="str">
            <v>Other non-hospital location</v>
          </cell>
        </row>
      </sheetData>
      <sheetData sheetId="8">
        <row r="13">
          <cell r="A13">
            <v>2</v>
          </cell>
          <cell r="B13" t="str">
            <v>Level 2 beds only where patients require more detailed observation or intervention including support for a single failing organ system or post-operative care and those 'stepping down' from higher levels of care</v>
          </cell>
        </row>
        <row r="14">
          <cell r="A14">
            <v>3</v>
          </cell>
          <cell r="B14" t="str">
            <v>Level 3 beds only. Level 3 care is defined as patients needing advanced respiratory support alone or support of at least two organ systems. Note basic respiratory and basic cardiovascular support occurring on one day count as one organ. This level include</v>
          </cell>
        </row>
        <row r="15">
          <cell r="A15">
            <v>5</v>
          </cell>
          <cell r="B15" t="str">
            <v>Flexible critical care beds where there is a mix of level 2 and level 3 beds</v>
          </cell>
        </row>
        <row r="16">
          <cell r="A16">
            <v>90</v>
          </cell>
          <cell r="B16" t="str">
            <v>Temporary use of non critical care bed</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publications/statistical/hospital-admitted-patient-care-activity/supporting-information"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hospital-admitted-patient-care-activity/2024-25"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tools-and-services/data-services/hospital-episode-statistics" TargetMode="External"/><Relationship Id="rId5" Type="http://schemas.openxmlformats.org/officeDocument/2006/relationships/hyperlink" Target="https://digital.nhs.uk/data-and-information/data-tools-and-services/data-services/hospital-episode-statistics/hospital-episode-statistics-data-dictionary" TargetMode="External"/><Relationship Id="rId10" Type="http://schemas.openxmlformats.org/officeDocument/2006/relationships/drawing" Target="../drawings/drawing1.xml"/><Relationship Id="rId4" Type="http://schemas.openxmlformats.org/officeDocument/2006/relationships/hyperlink" Target="http://www.nationalarchives.gov.uk/doc/open-government-licenc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DE6B-5948-476E-9F2E-90EDC4A409C1}">
  <sheetPr>
    <pageSetUpPr fitToPage="1"/>
  </sheetPr>
  <dimension ref="A8:I46"/>
  <sheetViews>
    <sheetView showGridLines="0" tabSelected="1" zoomScaleNormal="100" workbookViewId="0"/>
  </sheetViews>
  <sheetFormatPr defaultColWidth="7.88671875" defaultRowHeight="14.25" x14ac:dyDescent="0.2"/>
  <cols>
    <col min="1" max="1" width="7.88671875" style="8"/>
    <col min="2" max="2" width="101.44140625" style="8" customWidth="1"/>
    <col min="3" max="3" width="10.6640625" style="8" customWidth="1"/>
    <col min="4" max="16384" width="7.88671875" style="8"/>
  </cols>
  <sheetData>
    <row r="8" spans="1:9" ht="65.45" customHeight="1" x14ac:dyDescent="0.5">
      <c r="A8" s="165" t="s">
        <v>153</v>
      </c>
      <c r="B8" s="166"/>
    </row>
    <row r="9" spans="1:9" ht="26.25" x14ac:dyDescent="0.4">
      <c r="A9" s="106" t="s">
        <v>105</v>
      </c>
      <c r="B9" s="106"/>
    </row>
    <row r="10" spans="1:9" x14ac:dyDescent="0.2">
      <c r="A10" s="167" t="s">
        <v>163</v>
      </c>
      <c r="B10" s="167"/>
      <c r="C10" s="45"/>
    </row>
    <row r="11" spans="1:9" x14ac:dyDescent="0.2">
      <c r="A11" s="168" t="s">
        <v>140</v>
      </c>
      <c r="B11" s="168"/>
      <c r="C11" s="168"/>
    </row>
    <row r="12" spans="1:9" x14ac:dyDescent="0.2">
      <c r="A12" s="157" t="s">
        <v>141</v>
      </c>
      <c r="B12" s="158"/>
      <c r="C12" s="158"/>
    </row>
    <row r="14" spans="1:9" x14ac:dyDescent="0.2">
      <c r="A14" s="44" t="s">
        <v>92</v>
      </c>
    </row>
    <row r="15" spans="1:9" ht="44.1" customHeight="1" x14ac:dyDescent="0.2">
      <c r="A15" s="169" t="s">
        <v>113</v>
      </c>
      <c r="B15" s="169"/>
      <c r="C15" s="119"/>
      <c r="D15" s="119"/>
      <c r="E15" s="119"/>
      <c r="F15" s="119"/>
      <c r="G15" s="119"/>
      <c r="H15" s="119"/>
      <c r="I15" s="119"/>
    </row>
    <row r="16" spans="1:9" ht="41.45" customHeight="1" x14ac:dyDescent="0.2">
      <c r="A16" s="169" t="s">
        <v>114</v>
      </c>
      <c r="B16" s="169"/>
      <c r="C16" s="119"/>
      <c r="D16" s="119"/>
      <c r="E16" s="119"/>
      <c r="F16" s="119"/>
      <c r="G16" s="119"/>
      <c r="H16" s="119"/>
      <c r="I16" s="119"/>
    </row>
    <row r="17" spans="1:9" x14ac:dyDescent="0.2">
      <c r="A17" s="169"/>
      <c r="B17" s="170"/>
      <c r="C17" s="2"/>
      <c r="D17" s="2"/>
      <c r="E17" s="2"/>
      <c r="F17" s="2"/>
      <c r="G17" s="2"/>
      <c r="H17" s="2"/>
      <c r="I17" s="2"/>
    </row>
    <row r="18" spans="1:9" x14ac:dyDescent="0.2">
      <c r="A18" s="45"/>
      <c r="B18" s="45"/>
      <c r="C18" s="45"/>
      <c r="D18" s="45"/>
    </row>
    <row r="19" spans="1:9" x14ac:dyDescent="0.2">
      <c r="A19" s="44" t="s">
        <v>106</v>
      </c>
      <c r="B19" s="45"/>
      <c r="C19" s="45"/>
      <c r="D19" s="45"/>
    </row>
    <row r="20" spans="1:9" x14ac:dyDescent="0.2">
      <c r="A20" s="45" t="s">
        <v>107</v>
      </c>
      <c r="B20" s="45"/>
      <c r="C20" s="45"/>
      <c r="D20" s="45"/>
    </row>
    <row r="21" spans="1:9" ht="15" x14ac:dyDescent="0.2">
      <c r="A21" s="159" t="s">
        <v>108</v>
      </c>
      <c r="B21"/>
      <c r="C21" s="45"/>
      <c r="D21" s="45"/>
    </row>
    <row r="22" spans="1:9" ht="15" x14ac:dyDescent="0.2">
      <c r="A22" s="45" t="s">
        <v>109</v>
      </c>
      <c r="B22"/>
      <c r="C22" s="45"/>
      <c r="D22" s="45"/>
    </row>
    <row r="23" spans="1:9" ht="15" x14ac:dyDescent="0.2">
      <c r="A23" s="159" t="s">
        <v>110</v>
      </c>
      <c r="B23"/>
      <c r="C23" s="45"/>
      <c r="D23" s="45"/>
    </row>
    <row r="24" spans="1:9" x14ac:dyDescent="0.2">
      <c r="A24" s="45"/>
      <c r="B24" s="45"/>
      <c r="C24" s="45"/>
      <c r="D24" s="45"/>
    </row>
    <row r="25" spans="1:9" x14ac:dyDescent="0.2">
      <c r="A25" s="44" t="s">
        <v>93</v>
      </c>
      <c r="B25" s="45"/>
      <c r="C25" s="45"/>
      <c r="D25" s="45"/>
    </row>
    <row r="26" spans="1:9" x14ac:dyDescent="0.2">
      <c r="A26" s="45" t="s">
        <v>111</v>
      </c>
      <c r="B26" s="45"/>
      <c r="C26" s="45"/>
      <c r="D26" s="45"/>
    </row>
    <row r="27" spans="1:9" x14ac:dyDescent="0.2">
      <c r="A27" s="45" t="s">
        <v>144</v>
      </c>
      <c r="B27" s="45"/>
      <c r="C27" s="45"/>
      <c r="D27" s="45"/>
    </row>
    <row r="28" spans="1:9" x14ac:dyDescent="0.2">
      <c r="A28" s="45" t="s">
        <v>94</v>
      </c>
      <c r="B28" s="45"/>
      <c r="C28" s="45"/>
      <c r="D28" s="45"/>
    </row>
    <row r="29" spans="1:9" x14ac:dyDescent="0.2">
      <c r="A29" s="45" t="s">
        <v>95</v>
      </c>
      <c r="B29" s="45"/>
      <c r="C29" s="45"/>
      <c r="D29" s="45"/>
    </row>
    <row r="30" spans="1:9" x14ac:dyDescent="0.2">
      <c r="A30" s="45"/>
      <c r="B30" s="45"/>
      <c r="C30" s="45"/>
      <c r="D30" s="45"/>
    </row>
    <row r="31" spans="1:9" x14ac:dyDescent="0.2">
      <c r="A31" s="45" t="s">
        <v>112</v>
      </c>
      <c r="B31" s="45"/>
      <c r="C31" s="45"/>
      <c r="D31" s="45"/>
    </row>
    <row r="32" spans="1:9" x14ac:dyDescent="0.2">
      <c r="A32" s="45" t="s">
        <v>96</v>
      </c>
      <c r="B32" s="45"/>
      <c r="C32" s="45"/>
      <c r="D32" s="45"/>
    </row>
    <row r="33" spans="1:9" ht="18.75" customHeight="1" x14ac:dyDescent="0.2">
      <c r="A33" s="107" t="s">
        <v>154</v>
      </c>
      <c r="B33" s="45"/>
      <c r="C33" s="45"/>
      <c r="D33" s="45"/>
    </row>
    <row r="34" spans="1:9" ht="47.25" customHeight="1" x14ac:dyDescent="0.2">
      <c r="A34" s="45"/>
      <c r="B34" s="45"/>
      <c r="C34" s="45"/>
      <c r="D34" s="45"/>
    </row>
    <row r="35" spans="1:9" ht="78.75" customHeight="1" x14ac:dyDescent="0.2">
      <c r="A35" s="164" t="s">
        <v>97</v>
      </c>
      <c r="B35" s="164"/>
      <c r="C35" s="164"/>
      <c r="D35" s="164"/>
      <c r="E35" s="164"/>
      <c r="F35" s="164"/>
      <c r="G35" s="164"/>
      <c r="H35" s="164"/>
      <c r="I35" s="164"/>
    </row>
    <row r="36" spans="1:9" x14ac:dyDescent="0.2">
      <c r="A36" s="45"/>
      <c r="B36" s="45"/>
      <c r="C36" s="45"/>
      <c r="D36" s="45"/>
    </row>
    <row r="37" spans="1:9" x14ac:dyDescent="0.2">
      <c r="A37" s="45"/>
      <c r="B37" s="45"/>
      <c r="C37" s="45"/>
      <c r="D37" s="45"/>
    </row>
    <row r="38" spans="1:9" x14ac:dyDescent="0.2">
      <c r="A38" s="45"/>
      <c r="B38" s="45"/>
      <c r="C38" s="45"/>
      <c r="D38" s="45"/>
    </row>
    <row r="39" spans="1:9" x14ac:dyDescent="0.2">
      <c r="A39" s="45"/>
      <c r="B39" s="45"/>
      <c r="C39" s="45"/>
      <c r="D39" s="45"/>
    </row>
    <row r="40" spans="1:9" x14ac:dyDescent="0.2">
      <c r="A40" s="45"/>
      <c r="B40" s="45"/>
      <c r="C40" s="45"/>
      <c r="D40" s="45"/>
    </row>
    <row r="41" spans="1:9" x14ac:dyDescent="0.2">
      <c r="A41" s="45"/>
      <c r="B41" s="45"/>
      <c r="C41" s="45"/>
      <c r="D41" s="45"/>
    </row>
    <row r="42" spans="1:9" x14ac:dyDescent="0.2">
      <c r="A42" s="45"/>
      <c r="B42" s="45"/>
      <c r="C42" s="45"/>
      <c r="D42" s="45"/>
    </row>
    <row r="43" spans="1:9" x14ac:dyDescent="0.2">
      <c r="A43" s="45"/>
      <c r="B43" s="45"/>
      <c r="C43" s="45"/>
      <c r="D43" s="45"/>
    </row>
    <row r="44" spans="1:9" x14ac:dyDescent="0.2">
      <c r="A44" s="45"/>
      <c r="B44" s="45"/>
      <c r="C44" s="45"/>
      <c r="D44" s="45"/>
    </row>
    <row r="45" spans="1:9" x14ac:dyDescent="0.2">
      <c r="A45" s="45"/>
      <c r="B45" s="45"/>
      <c r="C45" s="45"/>
      <c r="D45" s="45"/>
    </row>
    <row r="46" spans="1:9" x14ac:dyDescent="0.2">
      <c r="A46" s="45"/>
      <c r="B46" s="45"/>
      <c r="C46" s="45"/>
      <c r="D46" s="45"/>
    </row>
  </sheetData>
  <mergeCells count="7">
    <mergeCell ref="A35:I35"/>
    <mergeCell ref="A8:B8"/>
    <mergeCell ref="A10:B10"/>
    <mergeCell ref="A11:C11"/>
    <mergeCell ref="A17:B17"/>
    <mergeCell ref="A16:B16"/>
    <mergeCell ref="A15:B15"/>
  </mergeCells>
  <hyperlinks>
    <hyperlink ref="B46" r:id="rId1" display="mailto:psi@nationalarchives.gsi.gov.uk" xr:uid="{C30AA4D4-5C42-4FC6-9A61-6AA20772AA2E}"/>
    <hyperlink ref="A46" r:id="rId2" display="mailto:psi@nationalarchives.gsi.gov.uk" xr:uid="{4F4FBA9C-9A72-46F0-8CE4-3D187AE4765A}"/>
    <hyperlink ref="B43" r:id="rId3" display="http://www.nationalarchives.gov.uk/doc/open-government-licence" xr:uid="{82B8C441-53FE-4F28-9E5C-639F248D4978}"/>
    <hyperlink ref="A43" r:id="rId4" display="http://www.nationalarchives.gov.uk/doc/open-government-licence" xr:uid="{DFFE4BD3-7AB2-46C6-A6DE-0E3ED3716EFF}"/>
    <hyperlink ref="A23" r:id="rId5" xr:uid="{BFF8950D-3841-41A9-A13E-971B5FACE120}"/>
    <hyperlink ref="A21" r:id="rId6" xr:uid="{8414F43A-FE95-4A89-B4B8-AFA0A82CAFC9}"/>
    <hyperlink ref="A11:C11" r:id="rId7" display="Link to publication" xr:uid="{88F3AE12-1979-4AED-A7B3-CFC791429C67}"/>
    <hyperlink ref="A12" r:id="rId8" xr:uid="{EEC8CCB6-A2ED-4F58-B7C9-7C449804AC0C}"/>
  </hyperlinks>
  <pageMargins left="0.78740157480314965" right="0.78740157480314965" top="0.78740157480314965" bottom="0.78740157480314965" header="0.78740157480314965" footer="0.78740157480314965"/>
  <pageSetup paperSize="9" scale="42" fitToHeight="0" orientation="portrait" r:id="rId9"/>
  <headerFooter alignWithMargins="0">
    <oddFooter>&amp;L&amp;C&amp;R</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F2E8-998B-42D8-B627-210FC8BD473B}">
  <sheetPr>
    <pageSetUpPr fitToPage="1"/>
  </sheetPr>
  <dimension ref="A1:L41"/>
  <sheetViews>
    <sheetView showGridLines="0" zoomScaleNormal="100" workbookViewId="0">
      <selection activeCell="C10" sqref="C10"/>
    </sheetView>
  </sheetViews>
  <sheetFormatPr defaultColWidth="8.88671875" defaultRowHeight="12.75" x14ac:dyDescent="0.2"/>
  <cols>
    <col min="1" max="1" width="4.109375" style="1" customWidth="1"/>
    <col min="2" max="2" width="18.109375" style="1" customWidth="1"/>
    <col min="3" max="3" width="65" style="1" customWidth="1"/>
    <col min="4" max="16384" width="8.88671875" style="1"/>
  </cols>
  <sheetData>
    <row r="1" spans="1:8" ht="81" customHeight="1" x14ac:dyDescent="0.2"/>
    <row r="2" spans="1:8" ht="30" customHeight="1" x14ac:dyDescent="0.35">
      <c r="A2" s="171" t="s">
        <v>128</v>
      </c>
      <c r="B2" s="172"/>
      <c r="C2" s="172"/>
      <c r="D2" s="172"/>
      <c r="E2" s="172"/>
      <c r="F2" s="172"/>
      <c r="G2" s="172"/>
      <c r="H2" s="172"/>
    </row>
    <row r="3" spans="1:8" ht="23.25" x14ac:dyDescent="0.35">
      <c r="A3" s="117"/>
      <c r="B3" s="118"/>
      <c r="C3" s="118"/>
      <c r="D3" s="118"/>
      <c r="E3" s="118"/>
      <c r="F3" s="118"/>
      <c r="G3" s="118"/>
      <c r="H3" s="118"/>
    </row>
    <row r="4" spans="1:8" ht="11.25" customHeight="1" x14ac:dyDescent="0.2">
      <c r="A4" s="4"/>
      <c r="B4" s="4"/>
      <c r="C4" s="4"/>
    </row>
    <row r="5" spans="1:8" ht="14.25" x14ac:dyDescent="0.2">
      <c r="A5" s="173" t="s">
        <v>99</v>
      </c>
      <c r="B5" s="174"/>
      <c r="C5" s="174"/>
    </row>
    <row r="6" spans="1:8" x14ac:dyDescent="0.2">
      <c r="A6" s="64"/>
    </row>
    <row r="7" spans="1:8" x14ac:dyDescent="0.2">
      <c r="A7" s="4"/>
      <c r="B7" s="120" t="s">
        <v>120</v>
      </c>
      <c r="C7" s="62" t="s">
        <v>155</v>
      </c>
    </row>
    <row r="8" spans="1:8" x14ac:dyDescent="0.2">
      <c r="A8" s="4"/>
      <c r="B8" s="120" t="s">
        <v>121</v>
      </c>
      <c r="C8" s="62" t="s">
        <v>156</v>
      </c>
    </row>
    <row r="9" spans="1:8" x14ac:dyDescent="0.2">
      <c r="A9" s="4"/>
      <c r="B9" s="120" t="s">
        <v>122</v>
      </c>
      <c r="C9" s="62" t="s">
        <v>157</v>
      </c>
    </row>
    <row r="10" spans="1:8" x14ac:dyDescent="0.2">
      <c r="A10" s="4"/>
      <c r="B10" s="63" t="s">
        <v>123</v>
      </c>
      <c r="C10" s="63" t="s">
        <v>158</v>
      </c>
    </row>
    <row r="11" spans="1:8" x14ac:dyDescent="0.2">
      <c r="A11" s="4"/>
      <c r="B11" s="120" t="s">
        <v>124</v>
      </c>
      <c r="C11" s="63" t="s">
        <v>159</v>
      </c>
    </row>
    <row r="12" spans="1:8" x14ac:dyDescent="0.2">
      <c r="A12" s="4"/>
      <c r="B12" s="5"/>
      <c r="C12" s="63"/>
    </row>
    <row r="13" spans="1:8" ht="14.25" x14ac:dyDescent="0.2">
      <c r="A13" s="173" t="s">
        <v>100</v>
      </c>
      <c r="B13" s="174"/>
      <c r="C13" s="174"/>
    </row>
    <row r="14" spans="1:8" x14ac:dyDescent="0.2">
      <c r="A14" s="64"/>
    </row>
    <row r="15" spans="1:8" x14ac:dyDescent="0.2">
      <c r="A15" s="4"/>
      <c r="B15" s="63" t="s">
        <v>125</v>
      </c>
      <c r="C15" s="63" t="s">
        <v>162</v>
      </c>
    </row>
    <row r="16" spans="1:8" x14ac:dyDescent="0.2">
      <c r="A16" s="4"/>
      <c r="B16" s="63" t="s">
        <v>126</v>
      </c>
      <c r="C16" s="63" t="s">
        <v>160</v>
      </c>
    </row>
    <row r="17" spans="1:12" x14ac:dyDescent="0.2">
      <c r="A17" s="4"/>
      <c r="B17" s="63" t="s">
        <v>127</v>
      </c>
      <c r="C17" s="63" t="s">
        <v>161</v>
      </c>
    </row>
    <row r="18" spans="1:12" ht="13.5" customHeight="1" x14ac:dyDescent="0.2">
      <c r="A18" s="4"/>
      <c r="B18" s="63"/>
      <c r="C18" s="63"/>
    </row>
    <row r="19" spans="1:12" ht="13.5" customHeight="1" x14ac:dyDescent="0.2">
      <c r="A19" s="4"/>
      <c r="B19" s="6"/>
      <c r="C19" s="63"/>
    </row>
    <row r="20" spans="1:12" ht="12.75" customHeight="1" x14ac:dyDescent="0.2">
      <c r="A20"/>
      <c r="B20" s="6"/>
      <c r="C20" s="63"/>
      <c r="D20" s="3"/>
      <c r="E20" s="3"/>
      <c r="F20" s="3"/>
      <c r="G20" s="3"/>
      <c r="H20" s="3"/>
      <c r="I20" s="3"/>
      <c r="J20" s="3"/>
      <c r="K20" s="3"/>
      <c r="L20" s="3"/>
    </row>
    <row r="21" spans="1:12" ht="12.75" customHeight="1" x14ac:dyDescent="0.2">
      <c r="A21" s="4"/>
      <c r="B21" s="6"/>
      <c r="C21" s="63"/>
      <c r="D21" s="3"/>
      <c r="E21" s="3"/>
      <c r="F21" s="3"/>
      <c r="G21" s="3"/>
      <c r="H21" s="3"/>
      <c r="I21" s="3"/>
      <c r="J21" s="3"/>
      <c r="K21" s="3"/>
      <c r="L21" s="3"/>
    </row>
    <row r="22" spans="1:12" ht="12.75" customHeight="1" x14ac:dyDescent="0.2">
      <c r="D22" s="3"/>
      <c r="E22" s="3"/>
      <c r="F22" s="3"/>
      <c r="G22" s="3"/>
      <c r="H22" s="3"/>
      <c r="I22" s="3"/>
      <c r="J22" s="3"/>
      <c r="K22" s="3"/>
      <c r="L22" s="3"/>
    </row>
    <row r="23" spans="1:12" ht="12.75" customHeight="1" x14ac:dyDescent="0.2">
      <c r="D23" s="3"/>
      <c r="E23" s="3"/>
      <c r="F23" s="3"/>
      <c r="G23" s="3"/>
      <c r="H23" s="3"/>
      <c r="I23" s="3"/>
      <c r="J23" s="3"/>
      <c r="K23" s="3"/>
      <c r="L23" s="3"/>
    </row>
    <row r="24" spans="1:12" ht="12.75" customHeight="1" x14ac:dyDescent="0.2">
      <c r="D24" s="3"/>
      <c r="E24" s="3"/>
      <c r="F24" s="3"/>
      <c r="G24" s="3"/>
      <c r="H24" s="3"/>
      <c r="I24" s="3"/>
      <c r="J24" s="3"/>
      <c r="K24" s="3"/>
      <c r="L24" s="3"/>
    </row>
    <row r="25" spans="1:12" ht="12.75" customHeight="1" x14ac:dyDescent="0.2">
      <c r="D25" s="3"/>
      <c r="E25" s="3"/>
      <c r="F25" s="3"/>
      <c r="G25" s="3"/>
      <c r="H25" s="3"/>
      <c r="I25" s="3"/>
      <c r="J25" s="3"/>
      <c r="K25" s="3"/>
      <c r="L25" s="3"/>
    </row>
    <row r="26" spans="1:12" ht="12.75" customHeight="1" x14ac:dyDescent="0.2">
      <c r="D26" s="3"/>
      <c r="E26" s="3"/>
      <c r="F26" s="3"/>
      <c r="G26" s="3"/>
      <c r="H26" s="3"/>
      <c r="I26" s="3"/>
      <c r="J26" s="3"/>
      <c r="K26" s="3"/>
      <c r="L26" s="3"/>
    </row>
    <row r="27" spans="1:12" ht="12.75" customHeight="1" x14ac:dyDescent="0.2">
      <c r="D27" s="3"/>
      <c r="E27" s="3"/>
      <c r="F27" s="3"/>
      <c r="G27" s="3"/>
      <c r="H27" s="3"/>
      <c r="I27" s="3"/>
      <c r="J27" s="3"/>
      <c r="K27" s="3"/>
      <c r="L27" s="3"/>
    </row>
    <row r="28" spans="1:12" ht="12.75" customHeight="1" x14ac:dyDescent="0.2">
      <c r="D28" s="3"/>
      <c r="E28" s="3"/>
      <c r="F28" s="3"/>
      <c r="G28" s="3"/>
      <c r="H28" s="3"/>
      <c r="I28" s="3"/>
      <c r="J28" s="3"/>
      <c r="K28" s="3"/>
      <c r="L28" s="3"/>
    </row>
    <row r="29" spans="1:12" ht="12.75" customHeight="1" x14ac:dyDescent="0.2">
      <c r="D29" s="3"/>
      <c r="E29" s="3"/>
      <c r="F29" s="3"/>
      <c r="G29" s="3"/>
      <c r="H29" s="3"/>
      <c r="I29" s="3"/>
      <c r="J29" s="3"/>
      <c r="K29" s="3"/>
      <c r="L29" s="3"/>
    </row>
    <row r="30" spans="1:12" ht="12.75" customHeight="1" x14ac:dyDescent="0.2">
      <c r="D30" s="3"/>
      <c r="E30" s="3"/>
      <c r="F30" s="3"/>
      <c r="G30" s="3"/>
      <c r="H30" s="3"/>
      <c r="I30" s="3"/>
      <c r="J30" s="3"/>
      <c r="K30" s="3"/>
      <c r="L30" s="3"/>
    </row>
    <row r="31" spans="1:12" ht="12.75" customHeight="1" x14ac:dyDescent="0.2">
      <c r="D31" s="3"/>
      <c r="E31" s="3"/>
      <c r="F31" s="3"/>
      <c r="G31" s="3"/>
      <c r="H31" s="3"/>
      <c r="I31" s="3"/>
      <c r="J31" s="3"/>
      <c r="K31" s="3"/>
      <c r="L31" s="3"/>
    </row>
    <row r="32" spans="1:12" ht="12.75" customHeight="1" x14ac:dyDescent="0.2">
      <c r="D32" s="3"/>
      <c r="E32" s="3"/>
      <c r="F32" s="3"/>
      <c r="G32" s="3"/>
      <c r="H32" s="3"/>
      <c r="I32" s="3"/>
      <c r="J32" s="3"/>
      <c r="K32" s="3"/>
      <c r="L32" s="3"/>
    </row>
    <row r="33" spans="4:12" ht="12.75" customHeight="1" x14ac:dyDescent="0.2">
      <c r="D33" s="3"/>
      <c r="E33" s="3"/>
      <c r="F33" s="3"/>
      <c r="G33" s="3"/>
      <c r="H33" s="3"/>
      <c r="I33" s="3"/>
      <c r="J33" s="3"/>
      <c r="K33" s="3"/>
      <c r="L33" s="3"/>
    </row>
    <row r="34" spans="4:12" ht="12.75" customHeight="1" x14ac:dyDescent="0.2">
      <c r="D34" s="3"/>
      <c r="E34" s="3"/>
      <c r="F34" s="3"/>
      <c r="G34" s="3"/>
      <c r="H34" s="3"/>
      <c r="I34" s="3"/>
      <c r="J34" s="3"/>
      <c r="K34" s="3"/>
      <c r="L34" s="3"/>
    </row>
    <row r="35" spans="4:12" ht="12.75" customHeight="1" x14ac:dyDescent="0.2">
      <c r="D35" s="3"/>
      <c r="E35" s="5"/>
      <c r="F35" s="5"/>
      <c r="G35" s="5"/>
      <c r="H35" s="5"/>
      <c r="I35" s="5"/>
    </row>
    <row r="36" spans="4:12" ht="11.25" customHeight="1" x14ac:dyDescent="0.2">
      <c r="D36" s="3"/>
    </row>
    <row r="37" spans="4:12" ht="15" customHeight="1" x14ac:dyDescent="0.2">
      <c r="D37" s="3"/>
    </row>
    <row r="38" spans="4:12" ht="11.25" customHeight="1" x14ac:dyDescent="0.2">
      <c r="D38" s="3"/>
    </row>
    <row r="39" spans="4:12" ht="12.75" customHeight="1" x14ac:dyDescent="0.2">
      <c r="D39" s="5"/>
    </row>
    <row r="41" spans="4:12" ht="12.75" customHeight="1" x14ac:dyDescent="0.2"/>
  </sheetData>
  <mergeCells count="3">
    <mergeCell ref="A2:H2"/>
    <mergeCell ref="A5:C5"/>
    <mergeCell ref="A13:C13"/>
  </mergeCells>
  <hyperlinks>
    <hyperlink ref="B7" location="'Summary table 1'!A1" display="Summary table 1" xr:uid="{9A894F02-6099-4CE5-84D4-476A5ED79E0E}"/>
    <hyperlink ref="B8" location="'Summary table 2'!A1" display="Summary table 2" xr:uid="{052221A9-417D-4799-A156-DBB73E6F60C4}"/>
    <hyperlink ref="B9" location="'Summary table 3'!A1" display="Summary table 3" xr:uid="{A2CC513D-11C6-4D4F-9D46-0E89BD68D057}"/>
    <hyperlink ref="B10" location="'Summary table 4'!A1" display="Summary table 4" xr:uid="{0690D6E5-0DED-4473-977D-D978709D9B3C}"/>
    <hyperlink ref="B11" location="'Summary table 5'!A1" display="Summary table 5" xr:uid="{1DDA9D71-B35F-4A72-B6C6-A97E9405CC7B}"/>
    <hyperlink ref="B15" location="'Summary table 6'!A1" display="Summary table 6" xr:uid="{F8A22A2C-EFFC-481D-B647-9C2D707B79D0}"/>
    <hyperlink ref="B16" location="'Summary table 7'!A1" display="Summary table 7" xr:uid="{998A6FB1-B0FF-4A3C-8B61-039CEC70AF29}"/>
    <hyperlink ref="B17" location="'Summary table 8'!A1" display="Summary table 8" xr:uid="{862CA73A-092A-4F9E-86A3-739B478EECEF}"/>
    <hyperlink ref="C7" location="'Summary table 1'!A1" display="FCEs, FAEs, Admission method, 2013-14 to 2022-23" xr:uid="{92DAE02F-077A-413A-9B42-BFC72D71202A}"/>
    <hyperlink ref="C8" location="'Summary table 2'!A1" display="Count of FCEs, by age and sex, 2022-23" xr:uid="{64C1921B-B071-46DC-9D7F-806DB06CD11C}"/>
    <hyperlink ref="C9" location="'Summary table 3'!A1" display="FAEs by Month and Admission Method, 2022-23" xr:uid="{D284361D-82AA-404A-A146-6A55637BAEF4}"/>
    <hyperlink ref="C10" location="'Summary table 4'!A1" display="Admissions by Ethnicity, Admissions by IMD Decile and rate per 100,000 population, 2022-23" xr:uid="{5CBA9618-6EBA-4FF9-9760-897EC2F44D28}"/>
    <hyperlink ref="C11" location="'Summary table 5'!A1" display="Count of FCEs by patient classification, 2012-23 to 2022-23" xr:uid="{B9A01039-78A5-41CA-96AA-5FEAC26C5FEB}"/>
    <hyperlink ref="C15" location="'Summary table 6'!A1" display="Count of critical care records, 2013-14 to 2022-23" xr:uid="{38DA7FC9-1029-42EC-93C0-026486905E09}"/>
    <hyperlink ref="C16" location="'Summary table 7'!A1" display="Count of critical care records by age and sex, 2022-23" xr:uid="{F59E9481-FB35-4176-963C-9BE64B3ADC26}"/>
    <hyperlink ref="C17" location="'Summary table 8'!A1" display="Count of critical care records and the average length of stay, by start day and discharge day, 2022-23" xr:uid="{18989DF8-E544-4422-BEF8-7179C7FE4648}"/>
  </hyperlinks>
  <pageMargins left="0.78740157480314965" right="0.78740157480314965" top="0.78740157480314965" bottom="0.78740157480314965" header="0.78740157480314965" footer="0.78740157480314965"/>
  <pageSetup paperSize="9" scale="77" fitToHeight="0" orientation="landscape"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073D-F29C-4F59-BCE9-83D21C552E3A}">
  <dimension ref="A1:L27"/>
  <sheetViews>
    <sheetView showGridLines="0" workbookViewId="0"/>
  </sheetViews>
  <sheetFormatPr defaultColWidth="9.109375" defaultRowHeight="15" x14ac:dyDescent="0.2"/>
  <cols>
    <col min="1"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23.25" x14ac:dyDescent="0.2">
      <c r="A3" s="109" t="s">
        <v>146</v>
      </c>
    </row>
    <row r="5" spans="1:12" ht="34.5" customHeight="1" x14ac:dyDescent="0.25">
      <c r="A5" s="177" t="s">
        <v>165</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75" x14ac:dyDescent="0.25">
      <c r="A8" s="178" t="s">
        <v>117</v>
      </c>
      <c r="B8" s="179"/>
      <c r="C8" s="179"/>
      <c r="D8" s="179"/>
      <c r="E8" s="179"/>
      <c r="F8" s="179"/>
      <c r="G8" s="179"/>
      <c r="H8" s="179"/>
      <c r="I8" s="179"/>
      <c r="J8" s="179"/>
      <c r="K8" s="179"/>
      <c r="L8" s="179"/>
    </row>
    <row r="9" spans="1:12" ht="15.75" x14ac:dyDescent="0.25">
      <c r="A9" s="178" t="s">
        <v>118</v>
      </c>
      <c r="B9" s="179"/>
      <c r="C9" s="179"/>
      <c r="D9" s="179"/>
      <c r="E9" s="179"/>
      <c r="F9" s="179"/>
      <c r="G9" s="179"/>
      <c r="H9" s="179"/>
      <c r="I9" s="179"/>
      <c r="J9" s="179"/>
      <c r="K9" s="179"/>
      <c r="L9" s="179"/>
    </row>
    <row r="10" spans="1:12" ht="15.75" thickBot="1" x14ac:dyDescent="0.25">
      <c r="A10" s="9"/>
      <c r="B10" s="9"/>
      <c r="C10" s="9"/>
      <c r="D10" s="9"/>
      <c r="E10" s="9"/>
    </row>
    <row r="11" spans="1:12" ht="16.5" thickBot="1" x14ac:dyDescent="0.3">
      <c r="A11" s="65"/>
      <c r="B11" s="105"/>
      <c r="C11" s="105"/>
      <c r="D11" s="175" t="s">
        <v>115</v>
      </c>
      <c r="E11" s="176"/>
    </row>
    <row r="12" spans="1:12" ht="16.5" thickBot="1" x14ac:dyDescent="0.3">
      <c r="A12" s="28" t="s">
        <v>0</v>
      </c>
      <c r="B12" s="48" t="s">
        <v>1</v>
      </c>
      <c r="C12" s="48" t="s">
        <v>2</v>
      </c>
      <c r="D12" s="108" t="s">
        <v>27</v>
      </c>
      <c r="E12" s="32" t="s">
        <v>28</v>
      </c>
    </row>
    <row r="13" spans="1:12" x14ac:dyDescent="0.2">
      <c r="A13" s="24" t="s">
        <v>129</v>
      </c>
      <c r="B13" s="60">
        <v>19239608</v>
      </c>
      <c r="C13" s="60">
        <v>16251841</v>
      </c>
      <c r="D13" s="11">
        <v>8464215</v>
      </c>
      <c r="E13" s="13">
        <v>5764765</v>
      </c>
    </row>
    <row r="14" spans="1:12" x14ac:dyDescent="0.2">
      <c r="A14" s="24" t="s">
        <v>130</v>
      </c>
      <c r="B14" s="60">
        <v>19726907</v>
      </c>
      <c r="C14" s="60">
        <v>16546667</v>
      </c>
      <c r="D14" s="11">
        <v>8676087</v>
      </c>
      <c r="E14" s="13">
        <v>5883234</v>
      </c>
    </row>
    <row r="15" spans="1:12" x14ac:dyDescent="0.2">
      <c r="A15" s="24" t="s">
        <v>131</v>
      </c>
      <c r="B15" s="60">
        <v>20030870</v>
      </c>
      <c r="C15" s="60">
        <v>16622939</v>
      </c>
      <c r="D15" s="11">
        <v>8583947</v>
      </c>
      <c r="E15" s="13">
        <v>6100310</v>
      </c>
    </row>
    <row r="16" spans="1:12" x14ac:dyDescent="0.2">
      <c r="A16" s="24" t="s">
        <v>132</v>
      </c>
      <c r="B16" s="60">
        <v>20760699</v>
      </c>
      <c r="C16" s="60">
        <v>17127498</v>
      </c>
      <c r="D16" s="11">
        <v>8809917</v>
      </c>
      <c r="E16" s="13">
        <v>6437959</v>
      </c>
    </row>
    <row r="17" spans="1:5" x14ac:dyDescent="0.2">
      <c r="A17" s="24" t="s">
        <v>133</v>
      </c>
      <c r="B17" s="60">
        <v>20912276</v>
      </c>
      <c r="C17" s="60">
        <v>17202558</v>
      </c>
      <c r="D17" s="11">
        <v>8842098</v>
      </c>
      <c r="E17" s="13">
        <v>6509586</v>
      </c>
    </row>
    <row r="18" spans="1:5" x14ac:dyDescent="0.2">
      <c r="A18" s="24" t="s">
        <v>134</v>
      </c>
      <c r="B18" s="60">
        <v>16168689</v>
      </c>
      <c r="C18" s="60">
        <v>12813120</v>
      </c>
      <c r="D18" s="11">
        <v>5628814</v>
      </c>
      <c r="E18" s="13">
        <v>5450837</v>
      </c>
    </row>
    <row r="19" spans="1:5" x14ac:dyDescent="0.2">
      <c r="A19" s="24" t="s">
        <v>135</v>
      </c>
      <c r="B19" s="60">
        <v>19626344</v>
      </c>
      <c r="C19" s="60">
        <v>15979490</v>
      </c>
      <c r="D19" s="11">
        <v>7931133</v>
      </c>
      <c r="E19" s="13">
        <v>6210641</v>
      </c>
    </row>
    <row r="20" spans="1:5" x14ac:dyDescent="0.2">
      <c r="A20" s="24" t="s">
        <v>136</v>
      </c>
      <c r="B20" s="60">
        <v>20028271</v>
      </c>
      <c r="C20" s="60">
        <v>16399596</v>
      </c>
      <c r="D20" s="11">
        <v>8560692</v>
      </c>
      <c r="E20" s="13">
        <v>6054000</v>
      </c>
    </row>
    <row r="21" spans="1:5" x14ac:dyDescent="0.2">
      <c r="A21" s="26" t="s">
        <v>143</v>
      </c>
      <c r="B21" s="98">
        <v>21450875</v>
      </c>
      <c r="C21" s="98">
        <v>17560128</v>
      </c>
      <c r="D21" s="132">
        <v>9165026</v>
      </c>
      <c r="E21" s="37">
        <v>6529851</v>
      </c>
    </row>
    <row r="22" spans="1:5" ht="15.75" thickBot="1" x14ac:dyDescent="0.25">
      <c r="A22" s="14" t="s">
        <v>145</v>
      </c>
      <c r="B22" s="133">
        <v>22555615</v>
      </c>
      <c r="C22" s="133">
        <v>18468856</v>
      </c>
      <c r="D22" s="135">
        <v>9960610</v>
      </c>
      <c r="E22" s="134">
        <v>6614976</v>
      </c>
    </row>
    <row r="23" spans="1:5" x14ac:dyDescent="0.2">
      <c r="A23" s="17" t="s">
        <v>119</v>
      </c>
    </row>
    <row r="27" spans="1:5" x14ac:dyDescent="0.2">
      <c r="D27" s="121"/>
    </row>
  </sheetData>
  <mergeCells count="4">
    <mergeCell ref="D11:E11"/>
    <mergeCell ref="A5:G5"/>
    <mergeCell ref="A8:L8"/>
    <mergeCell ref="A9:L9"/>
  </mergeCells>
  <phoneticPr fontId="23" type="noConversion"/>
  <pageMargins left="0.7" right="0.7" top="0.75" bottom="0.75" header="0.3" footer="0.3"/>
  <pageSetup paperSize="9"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A0BDB-1AAD-4102-98BD-C651C0F8C82E}">
  <dimension ref="A1:N33"/>
  <sheetViews>
    <sheetView showGridLines="0" workbookViewId="0"/>
  </sheetViews>
  <sheetFormatPr defaultColWidth="9.109375" defaultRowHeight="15" x14ac:dyDescent="0.2"/>
  <cols>
    <col min="1" max="3" width="10.6640625" style="18" customWidth="1"/>
    <col min="4" max="4" width="12.109375" style="18" customWidth="1"/>
    <col min="5" max="5" width="12.88671875" style="18" customWidth="1"/>
    <col min="6" max="10" width="9.109375" style="18"/>
    <col min="11" max="11" width="24.21875" style="18" bestFit="1" customWidth="1"/>
    <col min="12" max="12" width="15.6640625" style="18" bestFit="1" customWidth="1"/>
    <col min="13" max="13" width="9" style="18" bestFit="1" customWidth="1"/>
    <col min="14" max="14" width="10.88671875" style="18" bestFit="1" customWidth="1"/>
    <col min="15" max="16384" width="9.109375" style="18"/>
  </cols>
  <sheetData>
    <row r="1" spans="1:14" ht="75.599999999999994" customHeight="1" x14ac:dyDescent="0.2"/>
    <row r="3" spans="1:14" ht="23.25" x14ac:dyDescent="0.2">
      <c r="A3" s="109" t="s">
        <v>148</v>
      </c>
    </row>
    <row r="5" spans="1:14" ht="15.75" x14ac:dyDescent="0.25">
      <c r="A5" s="177" t="s">
        <v>166</v>
      </c>
      <c r="B5" s="177"/>
      <c r="C5" s="177"/>
      <c r="D5" s="177"/>
      <c r="E5" s="177"/>
      <c r="F5" s="177"/>
      <c r="G5" s="177"/>
      <c r="H5" s="110"/>
      <c r="I5" s="110"/>
      <c r="J5" s="110"/>
      <c r="K5" s="110"/>
      <c r="L5" s="110"/>
    </row>
    <row r="6" spans="1:14"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4" ht="15.75" x14ac:dyDescent="0.25">
      <c r="A7" s="112" t="s">
        <v>147</v>
      </c>
      <c r="B7" s="110"/>
      <c r="C7" s="110"/>
      <c r="D7" s="110"/>
      <c r="E7" s="110"/>
      <c r="F7" s="110"/>
      <c r="G7" s="110"/>
      <c r="H7" s="110"/>
      <c r="I7" s="110"/>
      <c r="J7" s="110"/>
      <c r="K7" s="110"/>
      <c r="L7" s="110"/>
    </row>
    <row r="8" spans="1:14" ht="15.75" x14ac:dyDescent="0.25">
      <c r="A8" s="178" t="s">
        <v>117</v>
      </c>
      <c r="B8" s="179"/>
      <c r="C8" s="179"/>
      <c r="D8" s="179"/>
      <c r="E8" s="179"/>
      <c r="F8" s="179"/>
      <c r="G8" s="179"/>
      <c r="H8" s="179"/>
      <c r="I8" s="179"/>
      <c r="J8" s="179"/>
      <c r="K8" s="179"/>
      <c r="L8" s="179"/>
    </row>
    <row r="9" spans="1:14" ht="15.75" x14ac:dyDescent="0.25">
      <c r="A9" s="178" t="s">
        <v>118</v>
      </c>
      <c r="B9" s="179"/>
      <c r="C9" s="179"/>
      <c r="D9" s="179"/>
      <c r="E9" s="179"/>
      <c r="F9" s="179"/>
      <c r="G9" s="179"/>
      <c r="H9" s="179"/>
      <c r="I9" s="179"/>
      <c r="J9" s="179"/>
      <c r="K9" s="179"/>
      <c r="L9" s="179"/>
    </row>
    <row r="10" spans="1:14" ht="15.75" thickBot="1" x14ac:dyDescent="0.25">
      <c r="A10" s="9"/>
      <c r="B10" s="9"/>
      <c r="C10" s="9"/>
      <c r="D10" s="9"/>
      <c r="E10" s="9"/>
    </row>
    <row r="11" spans="1:14" ht="16.5" thickBot="1" x14ac:dyDescent="0.3">
      <c r="A11" s="28" t="s">
        <v>26</v>
      </c>
      <c r="B11" s="28" t="s">
        <v>3</v>
      </c>
      <c r="C11" s="66" t="s">
        <v>4</v>
      </c>
      <c r="D11" s="75" t="s">
        <v>5</v>
      </c>
      <c r="K11"/>
      <c r="L11"/>
      <c r="M11"/>
      <c r="N11"/>
    </row>
    <row r="12" spans="1:14" x14ac:dyDescent="0.2">
      <c r="A12" s="22" t="s">
        <v>6</v>
      </c>
      <c r="B12" s="73">
        <v>715789</v>
      </c>
      <c r="C12" s="43">
        <v>591031</v>
      </c>
      <c r="D12" s="59">
        <v>1306820</v>
      </c>
      <c r="K12"/>
      <c r="L12"/>
      <c r="M12"/>
      <c r="N12"/>
    </row>
    <row r="13" spans="1:14" x14ac:dyDescent="0.2">
      <c r="A13" s="24" t="s">
        <v>7</v>
      </c>
      <c r="B13" s="53">
        <v>190711</v>
      </c>
      <c r="C13" s="12">
        <v>151160</v>
      </c>
      <c r="D13" s="61">
        <v>341871</v>
      </c>
      <c r="K13"/>
      <c r="L13"/>
      <c r="M13"/>
      <c r="N13"/>
    </row>
    <row r="14" spans="1:14" x14ac:dyDescent="0.2">
      <c r="A14" s="24" t="s">
        <v>8</v>
      </c>
      <c r="B14" s="53">
        <v>166780</v>
      </c>
      <c r="C14" s="12">
        <v>145005</v>
      </c>
      <c r="D14" s="61">
        <v>311785</v>
      </c>
      <c r="K14"/>
      <c r="L14"/>
      <c r="M14"/>
      <c r="N14"/>
    </row>
    <row r="15" spans="1:14" x14ac:dyDescent="0.2">
      <c r="A15" s="24" t="s">
        <v>9</v>
      </c>
      <c r="B15" s="53">
        <v>179716</v>
      </c>
      <c r="C15" s="12">
        <v>251857</v>
      </c>
      <c r="D15" s="61">
        <v>431573</v>
      </c>
      <c r="K15"/>
      <c r="L15"/>
      <c r="M15"/>
      <c r="N15"/>
    </row>
    <row r="16" spans="1:14" x14ac:dyDescent="0.2">
      <c r="A16" s="24" t="s">
        <v>10</v>
      </c>
      <c r="B16" s="53">
        <v>185313</v>
      </c>
      <c r="C16" s="12">
        <v>445618</v>
      </c>
      <c r="D16" s="61">
        <v>630931</v>
      </c>
      <c r="K16"/>
      <c r="L16"/>
      <c r="M16"/>
      <c r="N16"/>
    </row>
    <row r="17" spans="1:14" x14ac:dyDescent="0.2">
      <c r="A17" s="24" t="s">
        <v>11</v>
      </c>
      <c r="B17" s="53">
        <v>231810</v>
      </c>
      <c r="C17" s="12">
        <v>708675</v>
      </c>
      <c r="D17" s="61">
        <v>940485</v>
      </c>
      <c r="K17"/>
      <c r="L17"/>
      <c r="M17"/>
      <c r="N17"/>
    </row>
    <row r="18" spans="1:14" x14ac:dyDescent="0.2">
      <c r="A18" s="24" t="s">
        <v>12</v>
      </c>
      <c r="B18" s="53">
        <v>286999</v>
      </c>
      <c r="C18" s="12">
        <v>878417</v>
      </c>
      <c r="D18" s="61">
        <v>1165416</v>
      </c>
      <c r="K18"/>
      <c r="L18"/>
      <c r="M18"/>
      <c r="N18"/>
    </row>
    <row r="19" spans="1:14" x14ac:dyDescent="0.2">
      <c r="A19" s="24" t="s">
        <v>13</v>
      </c>
      <c r="B19" s="53">
        <v>328482</v>
      </c>
      <c r="C19" s="12">
        <v>730633</v>
      </c>
      <c r="D19" s="61">
        <v>1059115</v>
      </c>
      <c r="K19"/>
      <c r="L19"/>
      <c r="M19"/>
      <c r="N19"/>
    </row>
    <row r="20" spans="1:14" x14ac:dyDescent="0.2">
      <c r="A20" s="24" t="s">
        <v>14</v>
      </c>
      <c r="B20" s="53">
        <v>367622</v>
      </c>
      <c r="C20" s="12">
        <v>558713</v>
      </c>
      <c r="D20" s="61">
        <v>926335</v>
      </c>
      <c r="K20"/>
      <c r="L20"/>
      <c r="M20"/>
      <c r="N20"/>
    </row>
    <row r="21" spans="1:14" x14ac:dyDescent="0.2">
      <c r="A21" s="24" t="s">
        <v>15</v>
      </c>
      <c r="B21" s="53">
        <v>394003</v>
      </c>
      <c r="C21" s="12">
        <v>503322</v>
      </c>
      <c r="D21" s="61">
        <v>897325</v>
      </c>
      <c r="K21"/>
      <c r="L21"/>
      <c r="M21"/>
      <c r="N21"/>
    </row>
    <row r="22" spans="1:14" x14ac:dyDescent="0.2">
      <c r="A22" s="24" t="s">
        <v>16</v>
      </c>
      <c r="B22" s="53">
        <v>530558</v>
      </c>
      <c r="C22" s="12">
        <v>625524</v>
      </c>
      <c r="D22" s="61">
        <v>1156082</v>
      </c>
      <c r="K22"/>
      <c r="L22"/>
      <c r="M22"/>
      <c r="N22"/>
    </row>
    <row r="23" spans="1:14" x14ac:dyDescent="0.2">
      <c r="A23" s="24" t="s">
        <v>17</v>
      </c>
      <c r="B23" s="53">
        <v>709020</v>
      </c>
      <c r="C23" s="12">
        <v>744105</v>
      </c>
      <c r="D23" s="61">
        <v>1453125</v>
      </c>
      <c r="K23"/>
      <c r="L23"/>
      <c r="M23"/>
      <c r="N23"/>
    </row>
    <row r="24" spans="1:14" x14ac:dyDescent="0.2">
      <c r="A24" s="24" t="s">
        <v>18</v>
      </c>
      <c r="B24" s="53">
        <v>855683</v>
      </c>
      <c r="C24" s="12">
        <v>825626</v>
      </c>
      <c r="D24" s="61">
        <v>1681309</v>
      </c>
      <c r="K24"/>
      <c r="L24"/>
      <c r="M24"/>
      <c r="N24"/>
    </row>
    <row r="25" spans="1:14" x14ac:dyDescent="0.2">
      <c r="A25" s="24" t="s">
        <v>19</v>
      </c>
      <c r="B25" s="53">
        <v>916320</v>
      </c>
      <c r="C25" s="12">
        <v>837083</v>
      </c>
      <c r="D25" s="61">
        <v>1753403</v>
      </c>
      <c r="K25"/>
      <c r="L25"/>
      <c r="M25"/>
      <c r="N25"/>
    </row>
    <row r="26" spans="1:14" x14ac:dyDescent="0.2">
      <c r="A26" s="24" t="s">
        <v>20</v>
      </c>
      <c r="B26" s="53">
        <v>988656</v>
      </c>
      <c r="C26" s="12">
        <v>912767</v>
      </c>
      <c r="D26" s="61">
        <v>1901423</v>
      </c>
      <c r="K26"/>
      <c r="L26"/>
      <c r="M26"/>
      <c r="N26"/>
    </row>
    <row r="27" spans="1:14" x14ac:dyDescent="0.2">
      <c r="A27" s="24" t="s">
        <v>21</v>
      </c>
      <c r="B27" s="53">
        <v>1155728</v>
      </c>
      <c r="C27" s="12">
        <v>1105219</v>
      </c>
      <c r="D27" s="61">
        <v>2260947</v>
      </c>
      <c r="K27"/>
      <c r="L27"/>
      <c r="M27"/>
      <c r="N27"/>
    </row>
    <row r="28" spans="1:14" x14ac:dyDescent="0.2">
      <c r="A28" s="24" t="s">
        <v>22</v>
      </c>
      <c r="B28" s="53">
        <v>884020</v>
      </c>
      <c r="C28" s="12">
        <v>906522</v>
      </c>
      <c r="D28" s="61">
        <v>1790542</v>
      </c>
      <c r="K28"/>
      <c r="L28"/>
      <c r="M28"/>
      <c r="N28"/>
    </row>
    <row r="29" spans="1:14" x14ac:dyDescent="0.2">
      <c r="A29" s="24" t="s">
        <v>23</v>
      </c>
      <c r="B29" s="53">
        <v>608914</v>
      </c>
      <c r="C29" s="12">
        <v>703048</v>
      </c>
      <c r="D29" s="61">
        <v>1311962</v>
      </c>
      <c r="K29"/>
      <c r="L29"/>
      <c r="M29"/>
      <c r="N29"/>
    </row>
    <row r="30" spans="1:14" x14ac:dyDescent="0.2">
      <c r="A30" s="24" t="s">
        <v>24</v>
      </c>
      <c r="B30" s="53">
        <v>319245</v>
      </c>
      <c r="C30" s="12">
        <v>482664</v>
      </c>
      <c r="D30" s="61">
        <v>801909</v>
      </c>
      <c r="K30"/>
      <c r="L30"/>
      <c r="M30"/>
      <c r="N30"/>
    </row>
    <row r="31" spans="1:14" ht="15.75" thickBot="1" x14ac:dyDescent="0.25">
      <c r="A31" s="26" t="s">
        <v>25</v>
      </c>
      <c r="B31" s="54">
        <v>109698</v>
      </c>
      <c r="C31" s="68">
        <v>175867</v>
      </c>
      <c r="D31" s="76">
        <v>285565</v>
      </c>
      <c r="K31"/>
      <c r="L31"/>
      <c r="M31"/>
      <c r="N31"/>
    </row>
    <row r="32" spans="1:14" ht="16.5" thickBot="1" x14ac:dyDescent="0.3">
      <c r="A32" s="28" t="s">
        <v>5</v>
      </c>
      <c r="B32" s="74">
        <v>10125067</v>
      </c>
      <c r="C32" s="69">
        <v>12282856</v>
      </c>
      <c r="D32" s="94">
        <v>22407923</v>
      </c>
      <c r="K32"/>
      <c r="L32"/>
      <c r="M32"/>
      <c r="N32"/>
    </row>
    <row r="33" spans="1:14" x14ac:dyDescent="0.2">
      <c r="A33" s="17" t="s">
        <v>119</v>
      </c>
      <c r="K33"/>
      <c r="L33"/>
      <c r="M33"/>
      <c r="N33"/>
    </row>
  </sheetData>
  <mergeCells count="3">
    <mergeCell ref="A5:G5"/>
    <mergeCell ref="A8:L8"/>
    <mergeCell ref="A9:L9"/>
  </mergeCells>
  <pageMargins left="0.7" right="0.7" top="0.75" bottom="0.75" header="0.3" footer="0.3"/>
  <pageSetup paperSize="9"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356A-6198-4AE0-8AF4-54131DC36B3C}">
  <dimension ref="A1:L32"/>
  <sheetViews>
    <sheetView showGridLines="0" workbookViewId="0"/>
  </sheetViews>
  <sheetFormatPr defaultColWidth="9.109375" defaultRowHeight="15" x14ac:dyDescent="0.2"/>
  <cols>
    <col min="1"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23.25" x14ac:dyDescent="0.2">
      <c r="A3" s="109" t="s">
        <v>149</v>
      </c>
    </row>
    <row r="5" spans="1:12" ht="15.75" x14ac:dyDescent="0.25">
      <c r="A5" s="177" t="s">
        <v>167</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75" x14ac:dyDescent="0.25">
      <c r="A8" s="178" t="s">
        <v>117</v>
      </c>
      <c r="B8" s="179"/>
      <c r="C8" s="179"/>
      <c r="D8" s="179"/>
      <c r="E8" s="179"/>
      <c r="F8" s="179"/>
      <c r="G8" s="179"/>
      <c r="H8" s="179"/>
      <c r="I8" s="179"/>
      <c r="J8" s="179"/>
      <c r="K8" s="179"/>
      <c r="L8" s="179"/>
    </row>
    <row r="9" spans="1:12" ht="15.75" x14ac:dyDescent="0.25">
      <c r="A9" s="178" t="s">
        <v>118</v>
      </c>
      <c r="B9" s="179"/>
      <c r="C9" s="179"/>
      <c r="D9" s="179"/>
      <c r="E9" s="179"/>
      <c r="F9" s="179"/>
      <c r="G9" s="179"/>
      <c r="H9" s="179"/>
      <c r="I9" s="179"/>
      <c r="J9" s="179"/>
      <c r="K9" s="179"/>
      <c r="L9" s="179"/>
    </row>
    <row r="10" spans="1:12" ht="15.75" thickBot="1" x14ac:dyDescent="0.25">
      <c r="A10" s="9"/>
      <c r="B10" s="9"/>
      <c r="C10" s="9"/>
      <c r="D10" s="9"/>
      <c r="E10" s="9"/>
    </row>
    <row r="11" spans="1:12" ht="16.5" thickBot="1" x14ac:dyDescent="0.3">
      <c r="A11" s="100"/>
      <c r="B11" s="99"/>
      <c r="C11" s="180" t="s">
        <v>42</v>
      </c>
      <c r="D11" s="181"/>
      <c r="E11" s="181"/>
    </row>
    <row r="12" spans="1:12" ht="16.5" thickBot="1" x14ac:dyDescent="0.3">
      <c r="A12" s="48" t="s">
        <v>41</v>
      </c>
      <c r="B12" s="28" t="s">
        <v>2</v>
      </c>
      <c r="C12" s="28" t="s">
        <v>27</v>
      </c>
      <c r="D12" s="32" t="s">
        <v>28</v>
      </c>
      <c r="E12" s="32" t="s">
        <v>58</v>
      </c>
    </row>
    <row r="13" spans="1:12" x14ac:dyDescent="0.2">
      <c r="A13" s="55" t="s">
        <v>29</v>
      </c>
      <c r="B13" s="87">
        <v>1525776</v>
      </c>
      <c r="C13" s="52">
        <v>813055</v>
      </c>
      <c r="D13" s="103">
        <v>558126</v>
      </c>
      <c r="E13" s="83">
        <v>154595</v>
      </c>
    </row>
    <row r="14" spans="1:12" x14ac:dyDescent="0.2">
      <c r="A14" s="56" t="s">
        <v>30</v>
      </c>
      <c r="B14" s="88">
        <v>1579533</v>
      </c>
      <c r="C14" s="53">
        <v>840791</v>
      </c>
      <c r="D14" s="13">
        <v>575744</v>
      </c>
      <c r="E14" s="84">
        <v>162998</v>
      </c>
    </row>
    <row r="15" spans="1:12" x14ac:dyDescent="0.2">
      <c r="A15" s="56" t="s">
        <v>31</v>
      </c>
      <c r="B15" s="88">
        <v>1487535</v>
      </c>
      <c r="C15" s="53">
        <v>791708</v>
      </c>
      <c r="D15" s="13">
        <v>542173</v>
      </c>
      <c r="E15" s="84">
        <v>153654</v>
      </c>
    </row>
    <row r="16" spans="1:12" x14ac:dyDescent="0.2">
      <c r="A16" s="56" t="s">
        <v>32</v>
      </c>
      <c r="B16" s="88">
        <v>1601803</v>
      </c>
      <c r="C16" s="53">
        <v>873379</v>
      </c>
      <c r="D16" s="13">
        <v>566123</v>
      </c>
      <c r="E16" s="84">
        <v>162301</v>
      </c>
    </row>
    <row r="17" spans="1:5" x14ac:dyDescent="0.2">
      <c r="A17" s="56" t="s">
        <v>33</v>
      </c>
      <c r="B17" s="88">
        <v>1505755</v>
      </c>
      <c r="C17" s="53">
        <v>812617</v>
      </c>
      <c r="D17" s="13">
        <v>532292</v>
      </c>
      <c r="E17" s="84">
        <v>160846</v>
      </c>
    </row>
    <row r="18" spans="1:5" x14ac:dyDescent="0.2">
      <c r="A18" s="56" t="s">
        <v>34</v>
      </c>
      <c r="B18" s="88">
        <v>1512184</v>
      </c>
      <c r="C18" s="53">
        <v>817685</v>
      </c>
      <c r="D18" s="13">
        <v>535974</v>
      </c>
      <c r="E18" s="84">
        <v>158525</v>
      </c>
    </row>
    <row r="19" spans="1:5" x14ac:dyDescent="0.2">
      <c r="A19" s="10" t="s">
        <v>35</v>
      </c>
      <c r="B19" s="88">
        <v>1631135</v>
      </c>
      <c r="C19" s="53">
        <v>893471</v>
      </c>
      <c r="D19" s="13">
        <v>575067</v>
      </c>
      <c r="E19" s="84">
        <v>162597</v>
      </c>
    </row>
    <row r="20" spans="1:5" x14ac:dyDescent="0.2">
      <c r="A20" s="56" t="s">
        <v>36</v>
      </c>
      <c r="B20" s="88">
        <v>1557086</v>
      </c>
      <c r="C20" s="53">
        <v>847594</v>
      </c>
      <c r="D20" s="13">
        <v>555369</v>
      </c>
      <c r="E20" s="84">
        <v>154123</v>
      </c>
    </row>
    <row r="21" spans="1:5" x14ac:dyDescent="0.2">
      <c r="A21" s="56" t="s">
        <v>37</v>
      </c>
      <c r="B21" s="88">
        <v>1463492</v>
      </c>
      <c r="C21" s="53">
        <v>749413</v>
      </c>
      <c r="D21" s="13">
        <v>559406</v>
      </c>
      <c r="E21" s="84">
        <v>154673</v>
      </c>
    </row>
    <row r="22" spans="1:5" x14ac:dyDescent="0.2">
      <c r="A22" s="56" t="s">
        <v>38</v>
      </c>
      <c r="B22" s="88">
        <v>1581499</v>
      </c>
      <c r="C22" s="53">
        <v>866098</v>
      </c>
      <c r="D22" s="13">
        <v>555192</v>
      </c>
      <c r="E22" s="84">
        <v>160209</v>
      </c>
    </row>
    <row r="23" spans="1:5" x14ac:dyDescent="0.2">
      <c r="A23" s="56" t="s">
        <v>39</v>
      </c>
      <c r="B23" s="88">
        <v>1451585</v>
      </c>
      <c r="C23" s="53">
        <v>803060</v>
      </c>
      <c r="D23" s="13">
        <v>501943</v>
      </c>
      <c r="E23" s="84">
        <v>146582</v>
      </c>
    </row>
    <row r="24" spans="1:5" ht="15.75" thickBot="1" x14ac:dyDescent="0.25">
      <c r="A24" s="57" t="s">
        <v>40</v>
      </c>
      <c r="B24" s="89">
        <v>1571473</v>
      </c>
      <c r="C24" s="54">
        <v>851739</v>
      </c>
      <c r="D24" s="37">
        <v>557567</v>
      </c>
      <c r="E24" s="85">
        <v>162167</v>
      </c>
    </row>
    <row r="25" spans="1:5" ht="16.5" thickBot="1" x14ac:dyDescent="0.3">
      <c r="A25" s="28" t="s">
        <v>5</v>
      </c>
      <c r="B25" s="90">
        <v>18468856</v>
      </c>
      <c r="C25" s="58">
        <v>9960610</v>
      </c>
      <c r="D25" s="104">
        <v>6614976</v>
      </c>
      <c r="E25" s="86">
        <v>1893270</v>
      </c>
    </row>
    <row r="26" spans="1:5" x14ac:dyDescent="0.2">
      <c r="A26" s="17" t="s">
        <v>119</v>
      </c>
      <c r="B26" s="9"/>
      <c r="C26" s="9"/>
      <c r="D26" s="9"/>
      <c r="E26" s="9"/>
    </row>
    <row r="27" spans="1:5" x14ac:dyDescent="0.2">
      <c r="A27" s="9"/>
      <c r="B27" s="9"/>
      <c r="C27" s="9"/>
      <c r="D27" s="9"/>
      <c r="E27" s="9"/>
    </row>
    <row r="28" spans="1:5" x14ac:dyDescent="0.2">
      <c r="A28" s="9"/>
      <c r="B28" s="9"/>
      <c r="C28" s="9"/>
      <c r="D28" s="9"/>
      <c r="E28" s="9"/>
    </row>
    <row r="29" spans="1:5" x14ac:dyDescent="0.2">
      <c r="A29" s="9"/>
      <c r="B29" s="9"/>
      <c r="C29" s="9"/>
      <c r="D29" s="9"/>
      <c r="E29" s="9"/>
    </row>
    <row r="30" spans="1:5" x14ac:dyDescent="0.2">
      <c r="A30" s="9"/>
      <c r="B30" s="9"/>
      <c r="C30" s="9"/>
      <c r="D30" s="9"/>
      <c r="E30" s="9"/>
    </row>
    <row r="31" spans="1:5" x14ac:dyDescent="0.2">
      <c r="A31" s="9"/>
      <c r="B31" s="9"/>
      <c r="C31" s="9"/>
      <c r="D31" s="9"/>
      <c r="E31" s="9"/>
    </row>
    <row r="32" spans="1:5" x14ac:dyDescent="0.2">
      <c r="A32" s="9"/>
      <c r="B32" s="9"/>
      <c r="C32" s="9"/>
      <c r="D32" s="9"/>
      <c r="E32" s="9"/>
    </row>
  </sheetData>
  <mergeCells count="4">
    <mergeCell ref="A5:G5"/>
    <mergeCell ref="A8:L8"/>
    <mergeCell ref="A9:L9"/>
    <mergeCell ref="C11:E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279E-31FA-460E-B6EA-A836AEE37DE4}">
  <dimension ref="A1:P38"/>
  <sheetViews>
    <sheetView showGridLines="0" zoomScaleNormal="100" workbookViewId="0">
      <selection activeCell="A17" sqref="A17"/>
    </sheetView>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6" width="9.109375" style="18"/>
    <col min="7" max="7" width="9.88671875" style="18" bestFit="1" customWidth="1"/>
    <col min="8" max="8" width="9.109375" style="18"/>
    <col min="9" max="9" width="22.77734375" style="18" customWidth="1"/>
    <col min="10" max="16384" width="9.109375" style="18"/>
  </cols>
  <sheetData>
    <row r="1" spans="1:12" ht="75.599999999999994" customHeight="1" x14ac:dyDescent="0.2"/>
    <row r="3" spans="1:12" ht="51" customHeight="1" x14ac:dyDescent="0.2">
      <c r="A3" s="186" t="s">
        <v>150</v>
      </c>
      <c r="B3" s="186"/>
      <c r="C3" s="186"/>
      <c r="D3" s="186"/>
      <c r="E3" s="186"/>
      <c r="F3" s="186"/>
      <c r="G3" s="186"/>
      <c r="H3" s="186"/>
    </row>
    <row r="5" spans="1:12" ht="28.5" customHeight="1" x14ac:dyDescent="0.25">
      <c r="A5" s="177" t="s">
        <v>168</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75" x14ac:dyDescent="0.25">
      <c r="A8" s="178" t="s">
        <v>117</v>
      </c>
      <c r="B8" s="179"/>
      <c r="C8" s="179"/>
      <c r="D8" s="179"/>
      <c r="E8" s="179"/>
      <c r="F8" s="179"/>
      <c r="G8" s="179"/>
      <c r="H8" s="179"/>
      <c r="I8" s="179"/>
      <c r="J8" s="179"/>
      <c r="K8" s="179"/>
      <c r="L8" s="179"/>
    </row>
    <row r="9" spans="1:12" ht="15.75" x14ac:dyDescent="0.25">
      <c r="A9" s="178" t="s">
        <v>118</v>
      </c>
      <c r="B9" s="179"/>
      <c r="C9" s="179"/>
      <c r="D9" s="179"/>
      <c r="E9" s="179"/>
      <c r="F9" s="179"/>
      <c r="G9" s="179"/>
      <c r="H9" s="179"/>
      <c r="I9" s="179"/>
      <c r="J9" s="179"/>
      <c r="K9" s="179"/>
      <c r="L9" s="179"/>
    </row>
    <row r="10" spans="1:12" ht="15.75" thickBot="1" x14ac:dyDescent="0.25">
      <c r="A10" s="9"/>
      <c r="B10" s="9"/>
      <c r="C10" s="9"/>
      <c r="D10" s="9"/>
      <c r="E10" s="9"/>
      <c r="F10" s="9"/>
      <c r="G10" s="9"/>
    </row>
    <row r="11" spans="1:12" ht="30.75" thickBot="1" x14ac:dyDescent="0.3">
      <c r="A11" s="160" t="s">
        <v>45</v>
      </c>
      <c r="B11" s="115" t="s">
        <v>2</v>
      </c>
      <c r="C11" s="114" t="s">
        <v>44</v>
      </c>
      <c r="D11" s="113" t="s">
        <v>174</v>
      </c>
      <c r="E11" s="51"/>
      <c r="F11" s="51"/>
      <c r="G11" s="51"/>
    </row>
    <row r="12" spans="1:12" x14ac:dyDescent="0.2">
      <c r="A12" s="161" t="s">
        <v>101</v>
      </c>
      <c r="B12" s="91">
        <v>13228662</v>
      </c>
      <c r="C12" s="148">
        <v>45783401</v>
      </c>
      <c r="D12" s="149">
        <v>28894.013356500098</v>
      </c>
      <c r="E12" s="67"/>
      <c r="F12" s="67"/>
      <c r="G12" s="67"/>
    </row>
    <row r="13" spans="1:12" x14ac:dyDescent="0.2">
      <c r="A13" s="162" t="s">
        <v>102</v>
      </c>
      <c r="B13" s="92">
        <v>288771</v>
      </c>
      <c r="C13" s="150">
        <v>1669378</v>
      </c>
      <c r="D13" s="151">
        <v>17298.119419328636</v>
      </c>
      <c r="E13" s="67"/>
      <c r="F13" s="67"/>
      <c r="G13" s="8"/>
    </row>
    <row r="14" spans="1:12" x14ac:dyDescent="0.2">
      <c r="A14" s="162" t="s">
        <v>103</v>
      </c>
      <c r="B14" s="92">
        <v>1367959</v>
      </c>
      <c r="C14" s="150">
        <v>5426392</v>
      </c>
      <c r="D14" s="151">
        <v>25209.365633739693</v>
      </c>
      <c r="E14" s="67"/>
      <c r="F14" s="67"/>
      <c r="G14" s="8"/>
    </row>
    <row r="15" spans="1:12" x14ac:dyDescent="0.2">
      <c r="A15" s="162" t="s">
        <v>104</v>
      </c>
      <c r="B15" s="92">
        <v>623084</v>
      </c>
      <c r="C15" s="150">
        <v>2381724</v>
      </c>
      <c r="D15" s="151">
        <v>26161.049727004469</v>
      </c>
      <c r="E15" s="67"/>
      <c r="F15" s="67"/>
      <c r="G15" s="8"/>
    </row>
    <row r="16" spans="1:12" x14ac:dyDescent="0.2">
      <c r="A16" s="162" t="s">
        <v>43</v>
      </c>
      <c r="B16" s="92">
        <v>428921</v>
      </c>
      <c r="C16" s="150">
        <v>1229153</v>
      </c>
      <c r="D16" s="151">
        <v>34895.655788986405</v>
      </c>
      <c r="E16" s="67"/>
      <c r="F16" s="8"/>
      <c r="G16" s="8"/>
    </row>
    <row r="17" spans="1:16" ht="15.75" thickBot="1" x14ac:dyDescent="0.25">
      <c r="A17" s="163" t="s">
        <v>25</v>
      </c>
      <c r="B17" s="93">
        <v>2531459</v>
      </c>
      <c r="C17" s="155" t="s">
        <v>173</v>
      </c>
      <c r="D17" s="156" t="s">
        <v>173</v>
      </c>
      <c r="E17" s="67"/>
      <c r="F17" s="8"/>
      <c r="G17" s="8"/>
    </row>
    <row r="18" spans="1:16" s="7" customFormat="1" ht="23.25" x14ac:dyDescent="0.2">
      <c r="N18" s="18"/>
      <c r="O18" s="18"/>
      <c r="P18" s="18"/>
    </row>
    <row r="19" spans="1:16" ht="15.75" thickBot="1" x14ac:dyDescent="0.25">
      <c r="A19" s="95"/>
      <c r="B19" s="8"/>
      <c r="C19" s="8"/>
      <c r="D19" s="8"/>
      <c r="E19" s="67"/>
      <c r="F19" s="8"/>
      <c r="G19" s="8"/>
    </row>
    <row r="20" spans="1:16" ht="16.5" thickBot="1" x14ac:dyDescent="0.3">
      <c r="A20" s="190" t="s">
        <v>46</v>
      </c>
      <c r="B20" s="192" t="s">
        <v>2</v>
      </c>
      <c r="C20" s="194" t="s">
        <v>57</v>
      </c>
      <c r="D20" s="196" t="s">
        <v>174</v>
      </c>
      <c r="E20" s="187" t="s">
        <v>42</v>
      </c>
      <c r="F20" s="188"/>
      <c r="G20" s="189"/>
    </row>
    <row r="21" spans="1:16" ht="16.5" thickBot="1" x14ac:dyDescent="0.3">
      <c r="A21" s="191"/>
      <c r="B21" s="193"/>
      <c r="C21" s="195"/>
      <c r="D21" s="197"/>
      <c r="E21" s="82" t="s">
        <v>28</v>
      </c>
      <c r="F21" s="123" t="s">
        <v>27</v>
      </c>
      <c r="G21" s="124" t="s">
        <v>58</v>
      </c>
    </row>
    <row r="22" spans="1:16" x14ac:dyDescent="0.2">
      <c r="A22" s="42" t="s">
        <v>47</v>
      </c>
      <c r="B22" s="49">
        <v>1982787</v>
      </c>
      <c r="C22" s="152">
        <v>5603911</v>
      </c>
      <c r="D22" s="153">
        <f>B22/C22*100000</f>
        <v>35382.200038508818</v>
      </c>
      <c r="E22" s="79">
        <v>832523</v>
      </c>
      <c r="F22" s="125">
        <v>901880</v>
      </c>
      <c r="G22" s="126">
        <v>248384</v>
      </c>
    </row>
    <row r="23" spans="1:16" x14ac:dyDescent="0.2">
      <c r="A23" s="10" t="s">
        <v>48</v>
      </c>
      <c r="B23" s="50">
        <v>1866213</v>
      </c>
      <c r="C23" s="122">
        <v>5697232</v>
      </c>
      <c r="D23" s="153">
        <f t="shared" ref="D23:D31" si="0">B23/C23*100000</f>
        <v>32756.485956689139</v>
      </c>
      <c r="E23" s="77">
        <v>735929</v>
      </c>
      <c r="F23" s="122">
        <v>918918</v>
      </c>
      <c r="G23" s="127">
        <v>211366</v>
      </c>
    </row>
    <row r="24" spans="1:16" x14ac:dyDescent="0.2">
      <c r="A24" s="10" t="s">
        <v>49</v>
      </c>
      <c r="B24" s="50">
        <v>1825253</v>
      </c>
      <c r="C24" s="122">
        <v>5832954</v>
      </c>
      <c r="D24" s="153">
        <f t="shared" si="0"/>
        <v>31292.086308241072</v>
      </c>
      <c r="E24" s="77">
        <v>681027</v>
      </c>
      <c r="F24" s="122">
        <v>947865</v>
      </c>
      <c r="G24" s="127">
        <v>196361</v>
      </c>
    </row>
    <row r="25" spans="1:16" x14ac:dyDescent="0.2">
      <c r="A25" s="10" t="s">
        <v>50</v>
      </c>
      <c r="B25" s="50">
        <v>1810159</v>
      </c>
      <c r="C25" s="122">
        <v>5796889</v>
      </c>
      <c r="D25" s="153">
        <f t="shared" si="0"/>
        <v>31226.387119021943</v>
      </c>
      <c r="E25" s="77">
        <v>660283</v>
      </c>
      <c r="F25" s="122">
        <v>971200</v>
      </c>
      <c r="G25" s="127">
        <v>178676</v>
      </c>
    </row>
    <row r="26" spans="1:16" x14ac:dyDescent="0.2">
      <c r="A26" s="10" t="s">
        <v>51</v>
      </c>
      <c r="B26" s="50">
        <v>1802134</v>
      </c>
      <c r="C26" s="122">
        <v>5720152</v>
      </c>
      <c r="D26" s="153">
        <f t="shared" si="0"/>
        <v>31505.001964982748</v>
      </c>
      <c r="E26" s="77">
        <v>642752</v>
      </c>
      <c r="F26" s="122">
        <v>993956</v>
      </c>
      <c r="G26" s="127">
        <v>165426</v>
      </c>
    </row>
    <row r="27" spans="1:16" x14ac:dyDescent="0.2">
      <c r="A27" s="10" t="s">
        <v>52</v>
      </c>
      <c r="B27" s="50">
        <v>1812887</v>
      </c>
      <c r="C27" s="122">
        <v>5764872</v>
      </c>
      <c r="D27" s="153">
        <f t="shared" si="0"/>
        <v>31447.133605047951</v>
      </c>
      <c r="E27" s="77">
        <v>635645</v>
      </c>
      <c r="F27" s="122">
        <v>1019996</v>
      </c>
      <c r="G27" s="127">
        <v>157246</v>
      </c>
    </row>
    <row r="28" spans="1:16" x14ac:dyDescent="0.2">
      <c r="A28" s="10" t="s">
        <v>53</v>
      </c>
      <c r="B28" s="50">
        <v>1767627</v>
      </c>
      <c r="C28" s="122">
        <v>5591424</v>
      </c>
      <c r="D28" s="153">
        <f t="shared" si="0"/>
        <v>31613.181186044912</v>
      </c>
      <c r="E28" s="77">
        <v>608432</v>
      </c>
      <c r="F28" s="122">
        <v>1011259</v>
      </c>
      <c r="G28" s="127">
        <v>147936</v>
      </c>
    </row>
    <row r="29" spans="1:16" x14ac:dyDescent="0.2">
      <c r="A29" s="10" t="s">
        <v>54</v>
      </c>
      <c r="B29" s="50">
        <v>1752145</v>
      </c>
      <c r="C29" s="122">
        <v>5586550</v>
      </c>
      <c r="D29" s="153">
        <f t="shared" si="0"/>
        <v>31363.632295423831</v>
      </c>
      <c r="E29" s="77">
        <v>589202</v>
      </c>
      <c r="F29" s="122">
        <v>1021117</v>
      </c>
      <c r="G29" s="127">
        <v>141826</v>
      </c>
    </row>
    <row r="30" spans="1:16" x14ac:dyDescent="0.2">
      <c r="A30" s="10" t="s">
        <v>55</v>
      </c>
      <c r="B30" s="50">
        <v>1713054</v>
      </c>
      <c r="C30" s="122">
        <v>5512645</v>
      </c>
      <c r="D30" s="153">
        <f t="shared" si="0"/>
        <v>31074.992131726241</v>
      </c>
      <c r="E30" s="77">
        <v>570623</v>
      </c>
      <c r="F30" s="122">
        <v>1007075</v>
      </c>
      <c r="G30" s="127">
        <v>135356</v>
      </c>
    </row>
    <row r="31" spans="1:16" ht="15.75" thickBot="1" x14ac:dyDescent="0.25">
      <c r="A31" s="14" t="s">
        <v>56</v>
      </c>
      <c r="B31" s="72">
        <v>1598799</v>
      </c>
      <c r="C31" s="128">
        <v>5443509</v>
      </c>
      <c r="D31" s="154">
        <f t="shared" si="0"/>
        <v>29370.742291415336</v>
      </c>
      <c r="E31" s="78">
        <v>521340</v>
      </c>
      <c r="F31" s="128">
        <v>957094</v>
      </c>
      <c r="G31" s="129">
        <v>120365</v>
      </c>
    </row>
    <row r="32" spans="1:16" x14ac:dyDescent="0.2">
      <c r="A32" s="95" t="s">
        <v>119</v>
      </c>
      <c r="B32" s="8"/>
      <c r="C32" s="8"/>
      <c r="D32" s="99"/>
      <c r="E32" s="8"/>
      <c r="F32" s="8"/>
      <c r="G32" s="8"/>
    </row>
    <row r="34" spans="1:7" ht="15.6" customHeight="1" x14ac:dyDescent="0.2">
      <c r="A34" s="182" t="s">
        <v>142</v>
      </c>
      <c r="B34" s="183"/>
      <c r="C34" s="183"/>
      <c r="D34" s="184"/>
      <c r="E34" s="183"/>
      <c r="F34" s="183"/>
      <c r="G34" s="183"/>
    </row>
    <row r="35" spans="1:7" x14ac:dyDescent="0.2">
      <c r="A35" s="45"/>
    </row>
    <row r="36" spans="1:7" ht="25.5" customHeight="1" x14ac:dyDescent="0.2">
      <c r="A36" s="185" t="s">
        <v>137</v>
      </c>
      <c r="B36" s="185"/>
      <c r="C36" s="185"/>
      <c r="D36" s="185"/>
      <c r="E36" s="185"/>
      <c r="F36" s="185"/>
      <c r="G36" s="185"/>
    </row>
    <row r="37" spans="1:7" x14ac:dyDescent="0.2">
      <c r="A37" s="45" t="s">
        <v>138</v>
      </c>
    </row>
    <row r="38" spans="1:7" x14ac:dyDescent="0.2">
      <c r="A38" s="45" t="s">
        <v>139</v>
      </c>
    </row>
  </sheetData>
  <sortState xmlns:xlrd2="http://schemas.microsoft.com/office/spreadsheetml/2017/richdata2" ref="I23:L26">
    <sortCondition descending="1" ref="I23:I26"/>
  </sortState>
  <mergeCells count="11">
    <mergeCell ref="A34:G34"/>
    <mergeCell ref="A36:G36"/>
    <mergeCell ref="A3:H3"/>
    <mergeCell ref="A5:G5"/>
    <mergeCell ref="A8:L8"/>
    <mergeCell ref="A9:L9"/>
    <mergeCell ref="E20:G20"/>
    <mergeCell ref="A20:A21"/>
    <mergeCell ref="B20:B21"/>
    <mergeCell ref="C20:C21"/>
    <mergeCell ref="D20:D2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B814-2689-4148-9CFE-2766A3CAC6A7}">
  <dimension ref="A1:L23"/>
  <sheetViews>
    <sheetView showGridLines="0" workbookViewId="0">
      <selection activeCell="A3" sqref="A3:G3"/>
    </sheetView>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51" customHeight="1" x14ac:dyDescent="0.2">
      <c r="A3" s="186" t="s">
        <v>175</v>
      </c>
      <c r="B3" s="186"/>
      <c r="C3" s="186"/>
      <c r="D3" s="186"/>
      <c r="E3" s="186"/>
      <c r="F3" s="186"/>
      <c r="G3" s="186"/>
      <c r="H3" s="130"/>
    </row>
    <row r="5" spans="1:12" ht="15.75" x14ac:dyDescent="0.25">
      <c r="A5" s="177" t="s">
        <v>169</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6" customHeight="1" x14ac:dyDescent="0.25">
      <c r="A8" s="177" t="s">
        <v>117</v>
      </c>
      <c r="B8" s="177"/>
      <c r="C8" s="177"/>
      <c r="D8" s="177"/>
      <c r="E8" s="177"/>
      <c r="F8" s="177"/>
      <c r="G8" s="177"/>
      <c r="H8" s="177"/>
      <c r="I8" s="110"/>
      <c r="J8" s="110"/>
      <c r="K8" s="110"/>
      <c r="L8" s="110"/>
    </row>
    <row r="9" spans="1:12" ht="15.6" customHeight="1" x14ac:dyDescent="0.25">
      <c r="A9" s="177" t="s">
        <v>118</v>
      </c>
      <c r="B9" s="177"/>
      <c r="C9" s="177"/>
      <c r="D9" s="177"/>
      <c r="E9" s="177"/>
      <c r="F9" s="177"/>
      <c r="G9" s="177"/>
      <c r="H9" s="177"/>
      <c r="I9" s="110"/>
      <c r="J9" s="110"/>
      <c r="K9" s="110"/>
      <c r="L9" s="110"/>
    </row>
    <row r="10" spans="1:12" ht="15.75" thickBot="1" x14ac:dyDescent="0.25">
      <c r="A10" s="9"/>
      <c r="B10" s="9"/>
      <c r="C10" s="9"/>
      <c r="D10" s="9"/>
      <c r="E10" s="9"/>
      <c r="F10" s="9"/>
      <c r="G10" s="9"/>
    </row>
    <row r="11" spans="1:12" ht="16.5" thickBot="1" x14ac:dyDescent="0.3">
      <c r="A11" s="100"/>
      <c r="B11" s="180" t="s">
        <v>1</v>
      </c>
      <c r="C11" s="181"/>
      <c r="D11" s="198" t="s">
        <v>60</v>
      </c>
      <c r="E11" s="181"/>
      <c r="F11" s="116"/>
      <c r="G11" s="116"/>
    </row>
    <row r="12" spans="1:12" ht="30.75" thickBot="1" x14ac:dyDescent="0.3">
      <c r="A12" s="28" t="s">
        <v>0</v>
      </c>
      <c r="B12" s="70" t="s">
        <v>98</v>
      </c>
      <c r="C12" s="71" t="s">
        <v>59</v>
      </c>
      <c r="D12" s="81" t="s">
        <v>98</v>
      </c>
      <c r="E12" s="71" t="s">
        <v>59</v>
      </c>
      <c r="F12" s="116"/>
      <c r="G12" s="116"/>
    </row>
    <row r="13" spans="1:12" x14ac:dyDescent="0.2">
      <c r="A13" s="24" t="s">
        <v>129</v>
      </c>
      <c r="B13" s="25">
        <v>12352627</v>
      </c>
      <c r="C13" s="13">
        <v>6886981</v>
      </c>
      <c r="D13" s="101">
        <v>0.64204151144867405</v>
      </c>
      <c r="E13" s="16">
        <v>0.357958488551326</v>
      </c>
      <c r="F13" s="116"/>
      <c r="G13" s="116"/>
    </row>
    <row r="14" spans="1:12" x14ac:dyDescent="0.2">
      <c r="A14" s="24" t="s">
        <v>130</v>
      </c>
      <c r="B14" s="25">
        <v>12600443</v>
      </c>
      <c r="C14" s="13">
        <v>7126464</v>
      </c>
      <c r="D14" s="101">
        <v>0.63874397542402361</v>
      </c>
      <c r="E14" s="16">
        <v>0.36125602457597633</v>
      </c>
      <c r="F14" s="116"/>
      <c r="G14" s="116"/>
    </row>
    <row r="15" spans="1:12" s="7" customFormat="1" ht="15.95" customHeight="1" x14ac:dyDescent="0.2">
      <c r="A15" s="24" t="s">
        <v>131</v>
      </c>
      <c r="B15" s="25">
        <v>12905246</v>
      </c>
      <c r="C15" s="13">
        <v>7125624</v>
      </c>
      <c r="D15" s="101">
        <v>0.64426787253873641</v>
      </c>
      <c r="E15" s="16">
        <v>0.35573212746126354</v>
      </c>
      <c r="F15" s="116"/>
      <c r="G15" s="116"/>
    </row>
    <row r="16" spans="1:12" x14ac:dyDescent="0.2">
      <c r="A16" s="24" t="s">
        <v>132</v>
      </c>
      <c r="B16" s="25">
        <v>13374474</v>
      </c>
      <c r="C16" s="13">
        <v>7386225</v>
      </c>
      <c r="D16" s="101">
        <v>0.64422079429984513</v>
      </c>
      <c r="E16" s="16">
        <v>0.35577920570015492</v>
      </c>
      <c r="F16" s="116"/>
      <c r="G16" s="116"/>
    </row>
    <row r="17" spans="1:7" x14ac:dyDescent="0.2">
      <c r="A17" s="24" t="s">
        <v>133</v>
      </c>
      <c r="B17" s="25">
        <v>13477109</v>
      </c>
      <c r="C17" s="13">
        <v>7435167</v>
      </c>
      <c r="D17" s="101">
        <v>0.64400000000000002</v>
      </c>
      <c r="E17" s="16">
        <v>0.35599999999999998</v>
      </c>
      <c r="F17" s="116"/>
      <c r="G17" s="116"/>
    </row>
    <row r="18" spans="1:7" x14ac:dyDescent="0.2">
      <c r="A18" s="24" t="s">
        <v>134</v>
      </c>
      <c r="B18" s="25">
        <v>11406638</v>
      </c>
      <c r="C18" s="13">
        <v>4762051</v>
      </c>
      <c r="D18" s="101">
        <v>0.70547698703339523</v>
      </c>
      <c r="E18" s="16">
        <v>0.29452301296660477</v>
      </c>
      <c r="F18" s="116"/>
      <c r="G18" s="116"/>
    </row>
    <row r="19" spans="1:7" x14ac:dyDescent="0.2">
      <c r="A19" s="24" t="s">
        <v>135</v>
      </c>
      <c r="B19" s="25">
        <v>12821974</v>
      </c>
      <c r="C19" s="13">
        <v>6804370</v>
      </c>
      <c r="D19" s="101">
        <v>0.65330425269219783</v>
      </c>
      <c r="E19" s="16">
        <v>0.34669574730780223</v>
      </c>
      <c r="F19" s="116"/>
      <c r="G19" s="116"/>
    </row>
    <row r="20" spans="1:7" x14ac:dyDescent="0.2">
      <c r="A20" s="26" t="s">
        <v>136</v>
      </c>
      <c r="B20" s="27">
        <v>12622215</v>
      </c>
      <c r="C20" s="37">
        <v>7406056</v>
      </c>
      <c r="D20" s="136">
        <v>0.63021990265659977</v>
      </c>
      <c r="E20" s="137">
        <v>0.36978009734340023</v>
      </c>
      <c r="F20" s="116"/>
      <c r="G20" s="116"/>
    </row>
    <row r="21" spans="1:7" x14ac:dyDescent="0.2">
      <c r="A21" s="26" t="s">
        <v>143</v>
      </c>
      <c r="B21" s="27">
        <v>13491851</v>
      </c>
      <c r="C21" s="37">
        <v>7959024</v>
      </c>
      <c r="D21" s="136">
        <v>0.62896506552762999</v>
      </c>
      <c r="E21" s="137">
        <v>0.37103493447237001</v>
      </c>
      <c r="F21" s="116"/>
      <c r="G21" s="116"/>
    </row>
    <row r="22" spans="1:7" ht="15.75" thickBot="1" x14ac:dyDescent="0.25">
      <c r="A22" s="46" t="s">
        <v>145</v>
      </c>
      <c r="B22" s="47">
        <v>13894277</v>
      </c>
      <c r="C22" s="15">
        <v>8661338</v>
      </c>
      <c r="D22" s="102">
        <f>B22/SUM(B22:C22)</f>
        <v>0.61600080512103084</v>
      </c>
      <c r="E22" s="102">
        <f>C22/SUM(B22:C22)</f>
        <v>0.38399919487896916</v>
      </c>
      <c r="F22" s="116"/>
      <c r="G22" s="116"/>
    </row>
    <row r="23" spans="1:7" x14ac:dyDescent="0.2">
      <c r="A23" s="95" t="s">
        <v>119</v>
      </c>
      <c r="B23" s="8"/>
      <c r="C23" s="8"/>
      <c r="D23" s="8"/>
      <c r="E23" s="8"/>
      <c r="F23" s="8"/>
      <c r="G23" s="8"/>
    </row>
  </sheetData>
  <mergeCells count="6">
    <mergeCell ref="A3:G3"/>
    <mergeCell ref="B11:C11"/>
    <mergeCell ref="D11:E11"/>
    <mergeCell ref="A5:G5"/>
    <mergeCell ref="A9:H9"/>
    <mergeCell ref="A8:H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7D9E1-8D1B-43C2-A6D4-C1C43A5FE925}">
  <dimension ref="A1:L22"/>
  <sheetViews>
    <sheetView showGridLines="0" workbookViewId="0"/>
  </sheetViews>
  <sheetFormatPr defaultColWidth="9.109375" defaultRowHeight="15" x14ac:dyDescent="0.2"/>
  <cols>
    <col min="1" max="1" width="18.33203125" style="18" customWidth="1"/>
    <col min="2" max="2" width="16.21875" style="18" customWidth="1"/>
    <col min="3"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23.25" x14ac:dyDescent="0.2">
      <c r="A3" s="186" t="s">
        <v>164</v>
      </c>
      <c r="B3" s="186"/>
      <c r="C3" s="186"/>
      <c r="D3" s="186"/>
      <c r="E3" s="186"/>
      <c r="F3" s="186"/>
      <c r="G3" s="186"/>
      <c r="H3" s="130"/>
    </row>
    <row r="5" spans="1:12" ht="15.75" x14ac:dyDescent="0.25">
      <c r="A5" s="177" t="s">
        <v>170</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75" x14ac:dyDescent="0.25">
      <c r="A8" s="178" t="s">
        <v>117</v>
      </c>
      <c r="B8" s="179"/>
      <c r="C8" s="179"/>
      <c r="D8" s="179"/>
      <c r="E8" s="179"/>
      <c r="F8" s="179"/>
      <c r="G8" s="179"/>
      <c r="H8" s="179"/>
      <c r="I8" s="179"/>
      <c r="J8" s="179"/>
      <c r="K8" s="179"/>
      <c r="L8" s="179"/>
    </row>
    <row r="9" spans="1:12" ht="15.75" x14ac:dyDescent="0.25">
      <c r="A9" s="178" t="s">
        <v>118</v>
      </c>
      <c r="B9" s="179"/>
      <c r="C9" s="179"/>
      <c r="D9" s="179"/>
      <c r="E9" s="179"/>
      <c r="F9" s="179"/>
      <c r="G9" s="179"/>
      <c r="H9" s="179"/>
      <c r="I9" s="179"/>
      <c r="J9" s="179"/>
      <c r="K9" s="179"/>
      <c r="L9" s="179"/>
    </row>
    <row r="10" spans="1:12" ht="15.75" thickBot="1" x14ac:dyDescent="0.25">
      <c r="A10" s="9"/>
      <c r="B10" s="9"/>
      <c r="C10" s="9"/>
      <c r="D10" s="9"/>
      <c r="E10" s="9"/>
      <c r="F10" s="9"/>
      <c r="G10" s="9"/>
    </row>
    <row r="11" spans="1:12" ht="30.75" thickBot="1" x14ac:dyDescent="0.25">
      <c r="A11" s="145" t="s">
        <v>0</v>
      </c>
      <c r="B11" s="144" t="s">
        <v>61</v>
      </c>
      <c r="C11" s="9"/>
      <c r="D11" s="9"/>
      <c r="E11" s="9"/>
      <c r="F11" s="116"/>
      <c r="G11" s="116"/>
    </row>
    <row r="12" spans="1:12" x14ac:dyDescent="0.2">
      <c r="A12" s="24" t="s">
        <v>129</v>
      </c>
      <c r="B12" s="40">
        <v>271079</v>
      </c>
      <c r="C12" s="9"/>
      <c r="D12" s="9"/>
      <c r="E12" s="9"/>
      <c r="F12" s="116"/>
      <c r="G12" s="116"/>
    </row>
    <row r="13" spans="1:12" x14ac:dyDescent="0.2">
      <c r="A13" s="41" t="s">
        <v>130</v>
      </c>
      <c r="B13" s="40">
        <v>293170</v>
      </c>
      <c r="C13" s="9"/>
      <c r="D13" s="9"/>
      <c r="E13" s="9"/>
      <c r="F13" s="116"/>
      <c r="G13" s="116"/>
    </row>
    <row r="14" spans="1:12" x14ac:dyDescent="0.2">
      <c r="A14" s="41" t="s">
        <v>131</v>
      </c>
      <c r="B14" s="40">
        <v>291836</v>
      </c>
      <c r="C14" s="9"/>
      <c r="D14" s="9"/>
      <c r="E14" s="9"/>
      <c r="F14" s="116"/>
      <c r="G14" s="116"/>
    </row>
    <row r="15" spans="1:12" x14ac:dyDescent="0.2">
      <c r="A15" s="41" t="s">
        <v>132</v>
      </c>
      <c r="B15" s="40">
        <v>291679</v>
      </c>
      <c r="C15" s="9"/>
      <c r="D15" s="9"/>
      <c r="E15" s="9"/>
      <c r="F15" s="116"/>
      <c r="G15" s="116"/>
    </row>
    <row r="16" spans="1:12" s="7" customFormat="1" ht="15.95" customHeight="1" x14ac:dyDescent="0.2">
      <c r="A16" s="41" t="s">
        <v>133</v>
      </c>
      <c r="B16" s="40">
        <v>286224</v>
      </c>
      <c r="C16" s="9"/>
      <c r="D16" s="9"/>
      <c r="E16" s="9"/>
      <c r="F16" s="116"/>
      <c r="G16" s="116"/>
    </row>
    <row r="17" spans="1:7" x14ac:dyDescent="0.2">
      <c r="A17" s="41" t="s">
        <v>134</v>
      </c>
      <c r="B17" s="40">
        <v>235262</v>
      </c>
      <c r="C17" s="9"/>
      <c r="D17" s="9"/>
      <c r="E17" s="9"/>
      <c r="F17" s="116"/>
      <c r="G17" s="116"/>
    </row>
    <row r="18" spans="1:7" x14ac:dyDescent="0.2">
      <c r="A18" s="41" t="s">
        <v>135</v>
      </c>
      <c r="B18" s="40">
        <v>246286</v>
      </c>
      <c r="C18" s="9"/>
      <c r="D18" s="9"/>
      <c r="E18" s="9"/>
      <c r="F18" s="116"/>
      <c r="G18" s="116"/>
    </row>
    <row r="19" spans="1:7" x14ac:dyDescent="0.2">
      <c r="A19" s="41" t="s">
        <v>136</v>
      </c>
      <c r="B19" s="40">
        <v>237951</v>
      </c>
      <c r="C19" s="9"/>
      <c r="D19" s="9"/>
      <c r="E19" s="9"/>
      <c r="F19" s="116"/>
      <c r="G19" s="116"/>
    </row>
    <row r="20" spans="1:7" x14ac:dyDescent="0.2">
      <c r="A20" s="41" t="s">
        <v>143</v>
      </c>
      <c r="B20" s="40">
        <v>236171</v>
      </c>
      <c r="C20" s="9"/>
      <c r="D20" s="9"/>
      <c r="E20" s="9"/>
      <c r="F20" s="116"/>
      <c r="G20" s="116"/>
    </row>
    <row r="21" spans="1:7" ht="15.75" thickBot="1" x14ac:dyDescent="0.25">
      <c r="A21" s="131" t="s">
        <v>145</v>
      </c>
      <c r="B21" s="80">
        <v>234889</v>
      </c>
      <c r="C21" s="9"/>
      <c r="D21" s="9"/>
      <c r="E21" s="9"/>
      <c r="F21" s="116"/>
      <c r="G21" s="116"/>
    </row>
    <row r="22" spans="1:7" x14ac:dyDescent="0.2">
      <c r="A22" s="95" t="s">
        <v>119</v>
      </c>
      <c r="B22" s="8"/>
      <c r="C22" s="8"/>
      <c r="D22" s="8"/>
      <c r="E22" s="8"/>
      <c r="F22" s="8"/>
      <c r="G22" s="8"/>
    </row>
  </sheetData>
  <mergeCells count="4">
    <mergeCell ref="A5:G5"/>
    <mergeCell ref="A8:L8"/>
    <mergeCell ref="A9:L9"/>
    <mergeCell ref="A3:G3"/>
  </mergeCells>
  <phoneticPr fontId="2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C3D0-B020-42C8-BCED-D857E0BE33A0}">
  <dimension ref="A1:I36"/>
  <sheetViews>
    <sheetView showGridLines="0"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9" ht="75.599999999999994" customHeight="1" x14ac:dyDescent="0.2"/>
    <row r="3" spans="1:9" ht="22.9" customHeight="1" x14ac:dyDescent="0.2">
      <c r="A3" s="186" t="s">
        <v>152</v>
      </c>
      <c r="B3" s="186"/>
      <c r="C3" s="186"/>
      <c r="D3" s="186"/>
      <c r="E3" s="186"/>
      <c r="F3" s="186"/>
      <c r="G3" s="186"/>
      <c r="H3" s="186"/>
      <c r="I3" s="186"/>
    </row>
    <row r="5" spans="1:9" x14ac:dyDescent="0.2">
      <c r="A5" s="177" t="s">
        <v>171</v>
      </c>
      <c r="B5" s="177"/>
      <c r="C5" s="177"/>
      <c r="D5" s="177"/>
      <c r="E5" s="177"/>
      <c r="F5" s="177"/>
      <c r="G5" s="177"/>
    </row>
    <row r="6" spans="1:9" x14ac:dyDescent="0.2">
      <c r="A6" s="111" t="s">
        <v>116</v>
      </c>
      <c r="B6" s="111" t="s">
        <v>116</v>
      </c>
      <c r="C6" s="111" t="s">
        <v>116</v>
      </c>
      <c r="D6" s="111" t="s">
        <v>116</v>
      </c>
      <c r="E6" s="111" t="s">
        <v>116</v>
      </c>
      <c r="F6" s="111" t="s">
        <v>116</v>
      </c>
      <c r="G6" s="111" t="s">
        <v>116</v>
      </c>
    </row>
    <row r="7" spans="1:9" ht="15.75" x14ac:dyDescent="0.25">
      <c r="A7" s="112" t="s">
        <v>147</v>
      </c>
      <c r="B7" s="110"/>
      <c r="C7" s="110"/>
      <c r="D7" s="110"/>
      <c r="E7" s="110"/>
      <c r="F7" s="110"/>
      <c r="G7" s="110"/>
    </row>
    <row r="8" spans="1:9" ht="15.75" x14ac:dyDescent="0.25">
      <c r="A8" s="178" t="s">
        <v>117</v>
      </c>
      <c r="B8" s="179"/>
      <c r="C8" s="179"/>
      <c r="D8" s="179"/>
      <c r="E8" s="179"/>
      <c r="F8" s="179"/>
      <c r="G8" s="179"/>
    </row>
    <row r="9" spans="1:9" ht="15.75" x14ac:dyDescent="0.25">
      <c r="A9" s="178" t="s">
        <v>118</v>
      </c>
      <c r="B9" s="179"/>
      <c r="C9" s="179"/>
      <c r="D9" s="179"/>
      <c r="E9" s="179"/>
      <c r="F9" s="179"/>
      <c r="G9" s="179"/>
    </row>
    <row r="10" spans="1:9" ht="16.5" thickBot="1" x14ac:dyDescent="0.3">
      <c r="A10" s="111"/>
      <c r="B10" s="110"/>
      <c r="C10" s="110"/>
      <c r="D10" s="110"/>
      <c r="E10" s="110"/>
      <c r="F10" s="110"/>
      <c r="G10" s="110"/>
    </row>
    <row r="11" spans="1:9" ht="16.5" thickBot="1" x14ac:dyDescent="0.3">
      <c r="A11" s="28" t="s">
        <v>26</v>
      </c>
      <c r="B11" s="30" t="s">
        <v>3</v>
      </c>
      <c r="C11" s="31" t="s">
        <v>4</v>
      </c>
      <c r="D11" s="32" t="s">
        <v>5</v>
      </c>
      <c r="E11" s="9"/>
      <c r="F11" s="9"/>
      <c r="G11" s="9"/>
    </row>
    <row r="12" spans="1:9" x14ac:dyDescent="0.2">
      <c r="A12" s="22" t="s">
        <v>62</v>
      </c>
      <c r="B12" s="23">
        <v>128</v>
      </c>
      <c r="C12" s="33">
        <v>112</v>
      </c>
      <c r="D12" s="34">
        <v>240</v>
      </c>
      <c r="E12" s="9"/>
      <c r="F12" s="116"/>
      <c r="G12" s="116"/>
    </row>
    <row r="13" spans="1:9" x14ac:dyDescent="0.2">
      <c r="A13" s="24" t="s">
        <v>63</v>
      </c>
      <c r="B13" s="25">
        <v>53</v>
      </c>
      <c r="C13" s="35">
        <v>59</v>
      </c>
      <c r="D13" s="13">
        <v>112</v>
      </c>
      <c r="E13" s="9"/>
      <c r="F13" s="116"/>
      <c r="G13" s="116"/>
    </row>
    <row r="14" spans="1:9" x14ac:dyDescent="0.2">
      <c r="A14" s="24" t="s">
        <v>64</v>
      </c>
      <c r="B14" s="25">
        <v>65</v>
      </c>
      <c r="C14" s="35">
        <v>87</v>
      </c>
      <c r="D14" s="13">
        <v>152</v>
      </c>
      <c r="E14" s="9"/>
      <c r="F14" s="116"/>
      <c r="G14" s="116"/>
    </row>
    <row r="15" spans="1:9" x14ac:dyDescent="0.2">
      <c r="A15" s="24" t="s">
        <v>65</v>
      </c>
      <c r="B15" s="25">
        <v>1783</v>
      </c>
      <c r="C15" s="35">
        <v>1428</v>
      </c>
      <c r="D15" s="13">
        <v>3211</v>
      </c>
      <c r="E15" s="9"/>
      <c r="F15" s="146"/>
      <c r="G15" s="116"/>
    </row>
    <row r="16" spans="1:9" x14ac:dyDescent="0.2">
      <c r="A16" s="24" t="s">
        <v>66</v>
      </c>
      <c r="B16" s="25">
        <v>2453</v>
      </c>
      <c r="C16" s="35">
        <v>2345</v>
      </c>
      <c r="D16" s="13">
        <v>4798</v>
      </c>
      <c r="E16" s="9"/>
      <c r="F16" s="116"/>
      <c r="G16" s="116"/>
    </row>
    <row r="17" spans="1:7" x14ac:dyDescent="0.2">
      <c r="A17" s="24" t="s">
        <v>67</v>
      </c>
      <c r="B17" s="25">
        <v>2785</v>
      </c>
      <c r="C17" s="35">
        <v>3599</v>
      </c>
      <c r="D17" s="13">
        <v>6384</v>
      </c>
      <c r="E17" s="9"/>
      <c r="F17" s="116"/>
      <c r="G17" s="116"/>
    </row>
    <row r="18" spans="1:7" x14ac:dyDescent="0.2">
      <c r="A18" s="24" t="s">
        <v>68</v>
      </c>
      <c r="B18" s="25">
        <v>3442</v>
      </c>
      <c r="C18" s="35">
        <v>4335</v>
      </c>
      <c r="D18" s="13">
        <v>7777</v>
      </c>
      <c r="E18" s="9"/>
      <c r="F18" s="116"/>
      <c r="G18" s="116"/>
    </row>
    <row r="19" spans="1:7" s="7" customFormat="1" ht="15.75" customHeight="1" x14ac:dyDescent="0.2">
      <c r="A19" s="24" t="s">
        <v>69</v>
      </c>
      <c r="B19" s="25">
        <v>4416</v>
      </c>
      <c r="C19" s="35">
        <v>4611</v>
      </c>
      <c r="D19" s="13">
        <v>9027</v>
      </c>
      <c r="E19" s="9"/>
      <c r="F19" s="116"/>
      <c r="G19" s="116"/>
    </row>
    <row r="20" spans="1:7" x14ac:dyDescent="0.2">
      <c r="A20" s="24" t="s">
        <v>70</v>
      </c>
      <c r="B20" s="25">
        <v>5454</v>
      </c>
      <c r="C20" s="35">
        <v>4668</v>
      </c>
      <c r="D20" s="13">
        <v>10122</v>
      </c>
      <c r="E20" s="9"/>
      <c r="F20" s="116"/>
      <c r="G20" s="116"/>
    </row>
    <row r="21" spans="1:7" x14ac:dyDescent="0.2">
      <c r="A21" s="24" t="s">
        <v>71</v>
      </c>
      <c r="B21" s="25">
        <v>6639</v>
      </c>
      <c r="C21" s="35">
        <v>4929</v>
      </c>
      <c r="D21" s="13">
        <v>11568</v>
      </c>
      <c r="E21" s="9"/>
      <c r="F21" s="116"/>
      <c r="G21" s="116"/>
    </row>
    <row r="22" spans="1:7" x14ac:dyDescent="0.2">
      <c r="A22" s="24" t="s">
        <v>72</v>
      </c>
      <c r="B22" s="25">
        <v>9668</v>
      </c>
      <c r="C22" s="35">
        <v>7150</v>
      </c>
      <c r="D22" s="13">
        <v>16818</v>
      </c>
      <c r="E22" s="9"/>
      <c r="F22" s="116"/>
      <c r="G22" s="116"/>
    </row>
    <row r="23" spans="1:7" x14ac:dyDescent="0.2">
      <c r="A23" s="24" t="s">
        <v>73</v>
      </c>
      <c r="B23" s="25">
        <v>13657</v>
      </c>
      <c r="C23" s="35">
        <v>8997</v>
      </c>
      <c r="D23" s="13">
        <v>22654</v>
      </c>
      <c r="E23" s="8"/>
      <c r="F23" s="8"/>
      <c r="G23" s="8"/>
    </row>
    <row r="24" spans="1:7" x14ac:dyDescent="0.2">
      <c r="A24" s="24" t="s">
        <v>74</v>
      </c>
      <c r="B24" s="25">
        <v>16352</v>
      </c>
      <c r="C24" s="35">
        <v>10655</v>
      </c>
      <c r="D24" s="13">
        <v>27007</v>
      </c>
    </row>
    <row r="25" spans="1:7" x14ac:dyDescent="0.2">
      <c r="A25" s="24" t="s">
        <v>75</v>
      </c>
      <c r="B25" s="25">
        <v>17429</v>
      </c>
      <c r="C25" s="35">
        <v>10973</v>
      </c>
      <c r="D25" s="13">
        <v>28402</v>
      </c>
    </row>
    <row r="26" spans="1:7" x14ac:dyDescent="0.2">
      <c r="A26" s="24" t="s">
        <v>76</v>
      </c>
      <c r="B26" s="25">
        <v>17278</v>
      </c>
      <c r="C26" s="35">
        <v>11001</v>
      </c>
      <c r="D26" s="13">
        <v>28279</v>
      </c>
    </row>
    <row r="27" spans="1:7" x14ac:dyDescent="0.2">
      <c r="A27" s="24" t="s">
        <v>77</v>
      </c>
      <c r="B27" s="25">
        <v>16700</v>
      </c>
      <c r="C27" s="35">
        <v>11569</v>
      </c>
      <c r="D27" s="13">
        <v>28269</v>
      </c>
    </row>
    <row r="28" spans="1:7" x14ac:dyDescent="0.2">
      <c r="A28" s="24" t="s">
        <v>78</v>
      </c>
      <c r="B28" s="25">
        <v>9085</v>
      </c>
      <c r="C28" s="35">
        <v>6618</v>
      </c>
      <c r="D28" s="13">
        <v>15703</v>
      </c>
    </row>
    <row r="29" spans="1:7" x14ac:dyDescent="0.2">
      <c r="A29" s="24" t="s">
        <v>79</v>
      </c>
      <c r="B29" s="25">
        <v>3772</v>
      </c>
      <c r="C29" s="35">
        <v>3339</v>
      </c>
      <c r="D29" s="13">
        <v>7111</v>
      </c>
    </row>
    <row r="30" spans="1:7" x14ac:dyDescent="0.2">
      <c r="A30" s="24" t="s">
        <v>24</v>
      </c>
      <c r="B30" s="25">
        <v>892</v>
      </c>
      <c r="C30" s="35">
        <v>1118</v>
      </c>
      <c r="D30" s="13">
        <v>2010</v>
      </c>
    </row>
    <row r="31" spans="1:7" ht="15.75" thickBot="1" x14ac:dyDescent="0.25">
      <c r="A31" s="26" t="s">
        <v>25</v>
      </c>
      <c r="B31" s="27">
        <v>1901</v>
      </c>
      <c r="C31" s="36">
        <v>1358</v>
      </c>
      <c r="D31" s="37">
        <v>3259</v>
      </c>
    </row>
    <row r="32" spans="1:7" ht="16.5" thickBot="1" x14ac:dyDescent="0.3">
      <c r="A32" s="28" t="s">
        <v>5</v>
      </c>
      <c r="B32" s="29">
        <v>133952</v>
      </c>
      <c r="C32" s="38">
        <v>98951</v>
      </c>
      <c r="D32" s="39">
        <v>232903</v>
      </c>
    </row>
    <row r="33" spans="1:4" x14ac:dyDescent="0.2">
      <c r="A33" s="17" t="s">
        <v>119</v>
      </c>
      <c r="B33" s="8"/>
      <c r="C33" s="8"/>
      <c r="D33" s="8"/>
    </row>
    <row r="36" spans="1:4" x14ac:dyDescent="0.2">
      <c r="B36" s="147"/>
    </row>
  </sheetData>
  <mergeCells count="4">
    <mergeCell ref="A5:G5"/>
    <mergeCell ref="A8:G8"/>
    <mergeCell ref="A9:G9"/>
    <mergeCell ref="A3:I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07E76-D1BE-44BC-B755-6180C47873B8}">
  <dimension ref="A1:M22"/>
  <sheetViews>
    <sheetView showGridLines="0"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51" customHeight="1" x14ac:dyDescent="0.2">
      <c r="A3" s="186" t="s">
        <v>151</v>
      </c>
      <c r="B3" s="186"/>
      <c r="C3" s="186"/>
      <c r="D3" s="186"/>
      <c r="E3" s="186"/>
      <c r="F3" s="186"/>
      <c r="G3" s="186"/>
      <c r="H3" s="186"/>
    </row>
    <row r="5" spans="1:12" ht="15.75" x14ac:dyDescent="0.25">
      <c r="A5" s="177" t="s">
        <v>172</v>
      </c>
      <c r="B5" s="177"/>
      <c r="C5" s="177"/>
      <c r="D5" s="177"/>
      <c r="E5" s="177"/>
      <c r="F5" s="177"/>
      <c r="G5" s="177"/>
      <c r="H5" s="110"/>
      <c r="I5" s="110"/>
      <c r="J5" s="110"/>
      <c r="K5" s="110"/>
      <c r="L5" s="110"/>
    </row>
    <row r="6" spans="1:12" x14ac:dyDescent="0.2">
      <c r="A6" s="111" t="s">
        <v>116</v>
      </c>
      <c r="B6" s="111" t="s">
        <v>116</v>
      </c>
      <c r="C6" s="111" t="s">
        <v>116</v>
      </c>
      <c r="D6" s="111" t="s">
        <v>116</v>
      </c>
      <c r="E6" s="111" t="s">
        <v>116</v>
      </c>
      <c r="F6" s="111" t="s">
        <v>116</v>
      </c>
      <c r="G6" s="111" t="s">
        <v>116</v>
      </c>
      <c r="H6" s="111" t="s">
        <v>116</v>
      </c>
      <c r="I6" s="111" t="s">
        <v>116</v>
      </c>
      <c r="J6" s="111" t="s">
        <v>116</v>
      </c>
      <c r="K6" s="111" t="s">
        <v>116</v>
      </c>
      <c r="L6" s="111" t="s">
        <v>116</v>
      </c>
    </row>
    <row r="7" spans="1:12" ht="15.75" x14ac:dyDescent="0.25">
      <c r="A7" s="112" t="s">
        <v>147</v>
      </c>
      <c r="B7" s="110"/>
      <c r="C7" s="110"/>
      <c r="D7" s="110"/>
      <c r="E7" s="110"/>
      <c r="F7" s="110"/>
      <c r="G7" s="110"/>
      <c r="H7" s="110"/>
      <c r="I7" s="110"/>
      <c r="J7" s="110"/>
      <c r="K7" s="110"/>
      <c r="L7" s="110"/>
    </row>
    <row r="8" spans="1:12" ht="15.75" x14ac:dyDescent="0.25">
      <c r="A8" s="178" t="s">
        <v>117</v>
      </c>
      <c r="B8" s="179"/>
      <c r="C8" s="179"/>
      <c r="D8" s="179"/>
      <c r="E8" s="179"/>
      <c r="F8" s="179"/>
      <c r="G8" s="179"/>
      <c r="H8" s="179"/>
      <c r="I8" s="179"/>
      <c r="J8" s="179"/>
      <c r="K8" s="179"/>
      <c r="L8" s="179"/>
    </row>
    <row r="9" spans="1:12" ht="15.75" x14ac:dyDescent="0.25">
      <c r="A9" s="178" t="s">
        <v>118</v>
      </c>
      <c r="B9" s="179"/>
      <c r="C9" s="179"/>
      <c r="D9" s="179"/>
      <c r="E9" s="179"/>
      <c r="F9" s="179"/>
      <c r="G9" s="179"/>
      <c r="H9" s="179"/>
      <c r="I9" s="179"/>
      <c r="J9" s="179"/>
      <c r="K9" s="179"/>
      <c r="L9" s="179"/>
    </row>
    <row r="10" spans="1:12" ht="16.5" thickBot="1" x14ac:dyDescent="0.3">
      <c r="A10" s="111"/>
      <c r="B10" s="110"/>
      <c r="C10" s="110"/>
      <c r="D10" s="110"/>
      <c r="E10" s="110"/>
      <c r="F10" s="110"/>
      <c r="G10" s="110"/>
      <c r="H10" s="110"/>
      <c r="I10" s="110"/>
      <c r="J10" s="110"/>
      <c r="K10" s="110"/>
      <c r="L10" s="110"/>
    </row>
    <row r="11" spans="1:12" ht="16.5" thickBot="1" x14ac:dyDescent="0.3">
      <c r="A11" s="65"/>
      <c r="B11" s="199" t="s">
        <v>81</v>
      </c>
      <c r="C11" s="200"/>
      <c r="D11" s="198" t="s">
        <v>82</v>
      </c>
      <c r="E11" s="200"/>
      <c r="F11" s="9"/>
      <c r="G11" s="9"/>
    </row>
    <row r="12" spans="1:12" ht="45.75" thickBot="1" x14ac:dyDescent="0.3">
      <c r="A12" s="19" t="s">
        <v>91</v>
      </c>
      <c r="B12" s="20" t="s">
        <v>80</v>
      </c>
      <c r="C12" s="21" t="s">
        <v>90</v>
      </c>
      <c r="D12" s="96" t="s">
        <v>80</v>
      </c>
      <c r="E12" s="21" t="s">
        <v>90</v>
      </c>
      <c r="F12" s="9"/>
      <c r="G12" s="9"/>
    </row>
    <row r="13" spans="1:12" x14ac:dyDescent="0.2">
      <c r="A13" s="22" t="s">
        <v>83</v>
      </c>
      <c r="B13" s="23">
        <v>37488</v>
      </c>
      <c r="C13" s="140">
        <v>6.8</v>
      </c>
      <c r="D13" s="97">
        <v>29517</v>
      </c>
      <c r="E13" s="140">
        <v>5.5</v>
      </c>
      <c r="F13" s="9"/>
      <c r="G13" s="9"/>
    </row>
    <row r="14" spans="1:12" x14ac:dyDescent="0.2">
      <c r="A14" s="24" t="s">
        <v>84</v>
      </c>
      <c r="B14" s="23">
        <v>39023</v>
      </c>
      <c r="C14" s="141">
        <v>4.4000000000000004</v>
      </c>
      <c r="D14" s="60">
        <v>36162</v>
      </c>
      <c r="E14" s="141">
        <v>5.2</v>
      </c>
      <c r="F14" s="9"/>
      <c r="G14" s="9"/>
    </row>
    <row r="15" spans="1:12" x14ac:dyDescent="0.2">
      <c r="A15" s="24" t="s">
        <v>85</v>
      </c>
      <c r="B15" s="23">
        <v>38734</v>
      </c>
      <c r="C15" s="141">
        <v>4.5999999999999996</v>
      </c>
      <c r="D15" s="60">
        <v>37836</v>
      </c>
      <c r="E15" s="141">
        <v>4.7</v>
      </c>
      <c r="F15" s="9"/>
      <c r="G15" s="9"/>
    </row>
    <row r="16" spans="1:12" x14ac:dyDescent="0.2">
      <c r="A16" s="24" t="s">
        <v>86</v>
      </c>
      <c r="B16" s="23">
        <v>38458</v>
      </c>
      <c r="C16" s="141">
        <v>4.5999999999999996</v>
      </c>
      <c r="D16" s="60">
        <v>38525</v>
      </c>
      <c r="E16" s="141">
        <v>5.8</v>
      </c>
      <c r="F16" s="9"/>
      <c r="G16" s="9"/>
    </row>
    <row r="17" spans="1:13" x14ac:dyDescent="0.2">
      <c r="A17" s="24" t="s">
        <v>87</v>
      </c>
      <c r="B17" s="23">
        <v>36117</v>
      </c>
      <c r="C17" s="141">
        <v>4.7</v>
      </c>
      <c r="D17" s="60">
        <v>39367</v>
      </c>
      <c r="E17" s="141">
        <v>4.5</v>
      </c>
      <c r="F17" s="9"/>
      <c r="G17" s="9"/>
    </row>
    <row r="18" spans="1:13" x14ac:dyDescent="0.2">
      <c r="A18" s="24" t="s">
        <v>88</v>
      </c>
      <c r="B18" s="23">
        <v>23312</v>
      </c>
      <c r="C18" s="141">
        <v>5.6</v>
      </c>
      <c r="D18" s="60">
        <v>30317</v>
      </c>
      <c r="E18" s="141">
        <v>4</v>
      </c>
      <c r="F18" s="9"/>
      <c r="G18" s="9"/>
    </row>
    <row r="19" spans="1:13" s="7" customFormat="1" ht="15.95" customHeight="1" thickBot="1" x14ac:dyDescent="0.25">
      <c r="A19" s="26" t="s">
        <v>89</v>
      </c>
      <c r="B19" s="23">
        <v>21757</v>
      </c>
      <c r="C19" s="142">
        <v>5.6</v>
      </c>
      <c r="D19" s="98">
        <v>23165</v>
      </c>
      <c r="E19" s="142">
        <v>6.5</v>
      </c>
      <c r="F19" s="9"/>
      <c r="G19" s="9"/>
      <c r="H19" s="18"/>
      <c r="I19" s="18"/>
      <c r="J19" s="18"/>
      <c r="K19" s="18"/>
      <c r="L19" s="18"/>
      <c r="M19" s="18"/>
    </row>
    <row r="20" spans="1:13" ht="16.5" thickBot="1" x14ac:dyDescent="0.3">
      <c r="A20" s="28" t="s">
        <v>5</v>
      </c>
      <c r="B20" s="138">
        <v>234889</v>
      </c>
      <c r="C20" s="143">
        <v>5.0999999999999996</v>
      </c>
      <c r="D20" s="139">
        <v>234889</v>
      </c>
      <c r="E20" s="143">
        <v>5.0999999999999996</v>
      </c>
      <c r="F20" s="9"/>
      <c r="G20" s="9"/>
    </row>
    <row r="21" spans="1:13" x14ac:dyDescent="0.2">
      <c r="A21" s="95" t="s">
        <v>119</v>
      </c>
      <c r="B21" s="8"/>
      <c r="C21" s="8"/>
      <c r="D21" s="8"/>
      <c r="E21" s="8"/>
      <c r="F21" s="8"/>
      <c r="G21" s="9"/>
    </row>
    <row r="22" spans="1:13" x14ac:dyDescent="0.2">
      <c r="G22" s="9"/>
    </row>
  </sheetData>
  <mergeCells count="6">
    <mergeCell ref="A3:H3"/>
    <mergeCell ref="A5:G5"/>
    <mergeCell ref="A8:L8"/>
    <mergeCell ref="A9:L9"/>
    <mergeCell ref="B11:C11"/>
    <mergeCell ref="D11:E11"/>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NHSD-2119-2041888500-2280</_dlc_DocId>
    <_dlc_DocIdUrl xmlns="2c0b3723-ae66-45ac-94fb-aaf049c45b50">
      <Url>https://hscic365.sharepoint.com/sites/Teams 2/SUSprogramme/sushesanalysis/hesanalysis/inpatients/_layouts/15/DocIdRedir.aspx?ID=NHSD-2119-2041888500-2280</Url>
      <Description>NHSD-2119-2041888500-2280</Description>
    </_dlc_DocIdUrl>
  </documentManagement>
</p:properties>
</file>

<file path=customXml/itemProps1.xml><?xml version="1.0" encoding="utf-8"?>
<ds:datastoreItem xmlns:ds="http://schemas.openxmlformats.org/officeDocument/2006/customXml" ds:itemID="{3909576C-FE73-4CA4-82DF-704F11F09E9B}">
  <ds:schemaRefs>
    <ds:schemaRef ds:uri="http://schemas.microsoft.com/sharepoint/events"/>
  </ds:schemaRefs>
</ds:datastoreItem>
</file>

<file path=customXml/itemProps2.xml><?xml version="1.0" encoding="utf-8"?>
<ds:datastoreItem xmlns:ds="http://schemas.openxmlformats.org/officeDocument/2006/customXml" ds:itemID="{C30E645B-D48D-48B2-AD90-377811F20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307EA6-E1CF-4A50-9BCE-2ACCE662B4FD}">
  <ds:schemaRefs>
    <ds:schemaRef ds:uri="http://schemas.microsoft.com/sharepoint/v3/contenttype/forms"/>
  </ds:schemaRefs>
</ds:datastoreItem>
</file>

<file path=customXml/itemProps4.xml><?xml version="1.0" encoding="utf-8"?>
<ds:datastoreItem xmlns:ds="http://schemas.openxmlformats.org/officeDocument/2006/customXml" ds:itemID="{6BB41AA6-36CC-4579-8FD4-8FF8E10C4869}">
  <ds:schemaRefs>
    <ds:schemaRef ds:uri="http://schemas.microsoft.com/office/infopath/2007/PartnerControls"/>
    <ds:schemaRef ds:uri="http://schemas.microsoft.com/office/2006/documentManagement/types"/>
    <ds:schemaRef ds:uri="2c0b3723-ae66-45ac-94fb-aaf049c45b50"/>
    <ds:schemaRef ds:uri="http://purl.org/dc/dcmitype/"/>
    <ds:schemaRef ds:uri="http://schemas.openxmlformats.org/package/2006/metadata/core-properties"/>
    <ds:schemaRef ds:uri="http://schemas.microsoft.com/office/2006/metadata/properties"/>
    <ds:schemaRef ds:uri="http://purl.org/dc/terms/"/>
    <ds:schemaRef ds:uri="a831e5c4-9474-4af7-ab0e-bc9b1b4b88bb"/>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Title sheet</vt:lpstr>
      <vt:lpstr>Contents</vt:lpstr>
      <vt:lpstr>Summary table 1</vt:lpstr>
      <vt:lpstr>Summary table 2</vt:lpstr>
      <vt:lpstr>Summary table 3</vt:lpstr>
      <vt:lpstr>Summary table 4</vt:lpstr>
      <vt:lpstr>Summary table 5</vt:lpstr>
      <vt:lpstr>Summary table 6</vt:lpstr>
      <vt:lpstr>Summary table 7</vt:lpstr>
      <vt:lpstr>Summary table 8</vt:lpstr>
      <vt:lpstr>Contents!Print_Area</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Summary Report Tables</dc:title>
  <dc:creator>Wheatley, Emma</dc:creator>
  <cp:lastModifiedBy>BRAY, Mark (NHS ENGLAND)</cp:lastModifiedBy>
  <dcterms:created xsi:type="dcterms:W3CDTF">2018-09-03T14:58:49Z</dcterms:created>
  <dcterms:modified xsi:type="dcterms:W3CDTF">2025-09-18T12:50:54Z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d92e028b-ba9b-4136-9ee1-2f718a52da78</vt:lpwstr>
  </property>
</Properties>
</file>